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/>
  </bookViews>
  <sheets>
    <sheet name="Habits" sheetId="1" r:id="rId1"/>
  </sheets>
  <definedNames>
    <definedName name="MonthDays">Habits!$C$5</definedName>
    <definedName name="MonthStart">Habits!$C$4</definedName>
  </definedNames>
</workbook>
</file>

<file path=xl/sharedStrings.xml><?xml version="1.0" encoding="utf-8"?>
<sst xmlns="http://schemas.openxmlformats.org/spreadsheetml/2006/main" count="74" uniqueCount="16">
  <si>
    <t>Habit Tracker</t>
  </si>
  <si>
    <t>Pick a month, list your habits, and mark each day you kept one with an x.</t>
  </si>
  <si>
    <t>Month starting</t>
  </si>
  <si>
    <t>Days in month</t>
  </si>
  <si>
    <t>Habit</t>
  </si>
  <si>
    <t>Per week</t>
  </si>
  <si>
    <t>Done</t>
  </si>
  <si>
    <t>Target</t>
  </si>
  <si>
    <t>Progress</t>
  </si>
  <si>
    <t>Drink 8 glasses of water</t>
  </si>
  <si>
    <t>x</t>
  </si>
  <si>
    <t>Walk 30 minutes</t>
  </si>
  <si>
    <t>Read 20 pages</t>
  </si>
  <si>
    <t>No screens after 10 pm</t>
  </si>
  <si>
    <t>Stretch</t>
  </si>
  <si>
    <t>Habits kept per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</si>
</sst>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 yyyy"/>
  </numFmts>
  <fonts count="8" x14ac:knownFonts="1">
    <font>
      <sz val="11"/>
      <color theme="1"/>
      <name val="Calibri"/>
      <scheme val="minor"/>
    </font>
    <font>
      <b/>
      <sz val="18"/>
      <color rgb="FF1F4E79"/>
      <name val="Calibri"/>
      <scheme val="minor"/>
    </font>
    <font>
      <i/>
      <sz val="11"/>
      <color rgb="FF616E7C"/>
      <name val="Calibri"/>
      <scheme val="minor"/>
    </font>
    <font>
      <sz val="11"/>
      <color rgb="FF1F4E79"/>
      <name val="Calibri"/>
      <scheme val="minor"/>
    </font>
    <font>
      <sz val="11"/>
      <color rgb="FF616E7C"/>
      <name val="Calibri"/>
      <scheme val="minor"/>
    </font>
    <font>
      <sz val="9"/>
      <color rgb="FF616E7C"/>
      <name val="Calibri"/>
      <scheme val="minor"/>
    </font>
    <font>
      <b/>
      <sz val="11"/>
      <color rgb="FFFFFFFF"/>
      <name val="Calibri"/>
      <scheme val="minor"/>
    </font>
    <font>
      <b/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6DB"/>
      </patternFill>
    </fill>
    <fill>
      <patternFill patternType="solid">
        <fgColor rgb="FF1F4E79"/>
      </patternFill>
    </fill>
  </fills>
  <borders count="4">
    <border>
      <left/>
      <right/>
      <top/>
      <bottom/>
      <diagonal/>
    </border>
    <border>
      <left style="thin">
        <color rgb="FFCBD2D9"/>
      </left>
      <right style="thin">
        <color rgb="FFCBD2D9"/>
      </right>
      <top style="thin">
        <color rgb="FFCBD2D9"/>
      </top>
      <bottom style="thin">
        <color rgb="FFCBD2D9"/>
      </bottom>
      <diagonal/>
    </border>
    <border>
      <left style="thin">
        <color rgb="FFCBD2D9"/>
      </left>
      <right style="thin">
        <color rgb="FFCBD2D9"/>
      </right>
      <top style="thin">
        <color rgb="FFCBD2D9"/>
      </top>
      <bottom style="thin">
        <color rgb="FFCBD2D9"/>
      </bottom>
      <diagonal/>
    </border>
    <border>
      <left/>
      <right/>
      <top style="thin">
        <color rgb="FF1F2933"/>
      </top>
      <bottom style="double">
        <color rgb="FF1F293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164" fontId="3" fillId="2" borderId="0" xfId="0" applyFont="1" applyFill="1" applyNumberForma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1" xfId="0" applyNumberFormat="1" applyBorder="1"/>
    <xf numFmtId="0" fontId="7" fillId="0" borderId="3" xfId="0" applyFont="1" applyBorder="1"/>
    <xf numFmtId="0" fontId="7" fillId="0" borderId="3" xfId="0" applyFont="1" applyBorder="1" applyAlignment="1">
      <alignment horizontal="center"/>
    </xf>
    <xf numFmtId="9" fontId="7" fillId="0" borderId="3" xfId="0" applyFont="1" applyNumberFormat="1" applyBorder="1"/>
  </cellXfs>
  <cellStyles count="1">
    <cellStyle name="Normal" xfId="0" builtinId="0" customBuiltin="1"/>
  </cellStyles>
  <dxfs count="4">
    <dxf>
      <font>
        <color rgb="FF2F7D4F"/>
      </font>
    </dxf>
    <dxf>
      <font>
        <color rgb="FF1F4E79"/>
      </font>
    </dxf>
    <dxf>
      <fill>
        <patternFill patternType="solid">
          <fgColor rgb="FFF5F7FA"/>
        </patternFill>
      </fill>
    </dxf>
    <dxf>
      <font>
        <color rgb="FF2F7D4F"/>
      </font>
      <fill>
        <patternFill patternType="solid">
          <fgColor rgb="FFDDF1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381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  <a:fillToRect l="50000" t="-80000" r="50000" b="18000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  <a:fillToRect l="50000" t="50000" r="50000" b="5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K16"/>
  <sheetViews>
    <sheetView showGridLines="0" tabSelected="1" workbookViewId="0">
      <pane ySplit="7" topLeftCell="A8" state="frozen" activePane="bottomLeft"/>
    </sheetView>
  </sheetViews>
  <sheetFormatPr defaultRowHeight="15" x14ac:dyDescent="0.25"/>
  <cols>
    <col min="1" max="1" width="2.3984375" customWidth="1"/>
    <col min="2" max="2" width="25" customWidth="1"/>
    <col min="3" max="3" width="9.6015625" customWidth="1"/>
    <col min="4" max="34" width="3.3984375" customWidth="1"/>
    <col min="35" max="35" width="6.3984375" customWidth="1"/>
    <col min="36" max="36" width="7.6015625" customWidth="1"/>
    <col min="37" max="37" width="9.6015625" customWidth="1"/>
  </cols>
  <sheetData>
    <row r="2" x14ac:dyDescent="0.25">
      <c r="B2" s="1" t="s">
        <v>0</v>
      </c>
    </row>
    <row r="3" x14ac:dyDescent="0.25">
      <c r="B3" s="2" t="s">
        <v>1</v>
      </c>
    </row>
    <row r="4" x14ac:dyDescent="0.25">
      <c r="B4" t="s">
        <v>2</v>
      </c>
      <c r="C4" s="3">
        <v>46266</v>
      </c>
    </row>
    <row r="5" x14ac:dyDescent="0.25">
      <c r="B5" s="4" t="s">
        <v>3</v>
      </c>
      <c r="C5" s="5">
        <f>DAY(EOMONTH(MonthStart,0))</f>
        <v>30</v>
      </c>
    </row>
    <row r="6" x14ac:dyDescent="0.25">
      <c r="D6" s="6" t="str">
        <f t="shared" ref="D6:AH6" si="0">IF(COLUMNS($D6:D6)&gt;MonthDays,"",LEFT(TEXT(MonthStart+COLUMNS($D6:D6)-1,"ddd"),2))</f>
        <v>Tu</v>
      </c>
      <c r="E6" s="6" t="str">
        <f t="shared" si="0"/>
        <v>We</v>
      </c>
      <c r="F6" s="6" t="str">
        <f t="shared" si="0"/>
        <v>Th</v>
      </c>
      <c r="G6" s="6" t="str">
        <f t="shared" si="0"/>
        <v>Fr</v>
      </c>
      <c r="H6" s="6" t="str">
        <f t="shared" si="0"/>
        <v>Sa</v>
      </c>
      <c r="I6" s="6" t="str">
        <f t="shared" si="0"/>
        <v>Su</v>
      </c>
      <c r="J6" s="6" t="str">
        <f t="shared" si="0"/>
        <v>Mo</v>
      </c>
      <c r="K6" s="6" t="str">
        <f t="shared" si="0"/>
        <v>Tu</v>
      </c>
      <c r="L6" s="6" t="str">
        <f t="shared" si="0"/>
        <v>We</v>
      </c>
      <c r="M6" s="6" t="str">
        <f t="shared" si="0"/>
        <v>Th</v>
      </c>
      <c r="N6" s="6" t="str">
        <f t="shared" si="0"/>
        <v>Fr</v>
      </c>
      <c r="O6" s="6" t="str">
        <f t="shared" si="0"/>
        <v>Sa</v>
      </c>
      <c r="P6" s="6" t="str">
        <f t="shared" si="0"/>
        <v>Su</v>
      </c>
      <c r="Q6" s="6" t="str">
        <f t="shared" si="0"/>
        <v>Mo</v>
      </c>
      <c r="R6" s="6" t="str">
        <f t="shared" si="0"/>
        <v>Tu</v>
      </c>
      <c r="S6" s="6" t="str">
        <f t="shared" si="0"/>
        <v>We</v>
      </c>
      <c r="T6" s="6" t="str">
        <f t="shared" si="0"/>
        <v>Th</v>
      </c>
      <c r="U6" s="6" t="str">
        <f t="shared" si="0"/>
        <v>Fr</v>
      </c>
      <c r="V6" s="6" t="str">
        <f t="shared" si="0"/>
        <v>Sa</v>
      </c>
      <c r="W6" s="6" t="str">
        <f t="shared" si="0"/>
        <v>Su</v>
      </c>
      <c r="X6" s="6" t="str">
        <f t="shared" si="0"/>
        <v>Mo</v>
      </c>
      <c r="Y6" s="6" t="str">
        <f t="shared" si="0"/>
        <v>Tu</v>
      </c>
      <c r="Z6" s="6" t="str">
        <f t="shared" si="0"/>
        <v>We</v>
      </c>
      <c r="AA6" s="6" t="str">
        <f t="shared" si="0"/>
        <v>Th</v>
      </c>
      <c r="AB6" s="6" t="str">
        <f t="shared" si="0"/>
        <v>Fr</v>
      </c>
      <c r="AC6" s="6" t="str">
        <f t="shared" si="0"/>
        <v>Sa</v>
      </c>
      <c r="AD6" s="6" t="str">
        <f t="shared" si="0"/>
        <v>Su</v>
      </c>
      <c r="AE6" s="6" t="str">
        <f t="shared" si="0"/>
        <v>Mo</v>
      </c>
      <c r="AF6" s="6" t="str">
        <f t="shared" si="0"/>
        <v>Tu</v>
      </c>
      <c r="AG6" s="6" t="str">
        <f t="shared" si="0"/>
        <v>We</v>
      </c>
      <c r="AH6" s="6" t="str">
        <f t="shared" si="0"/>
        <v/>
      </c>
    </row>
    <row r="7" x14ac:dyDescent="0.25">
      <c r="B7" s="7" t="s">
        <v>4</v>
      </c>
      <c r="C7" s="8" t="s">
        <v>5</v>
      </c>
      <c r="D7" s="8">
        <f t="shared" ref="D7:AH7" si="1">IF(COLUMNS($D7:D7)&gt;MonthDays,"",COLUMNS($D7:D7))</f>
        <v>1</v>
      </c>
      <c r="E7" s="8">
        <f t="shared" si="1"/>
        <v>2</v>
      </c>
      <c r="F7" s="8">
        <f t="shared" si="1"/>
        <v>3</v>
      </c>
      <c r="G7" s="8">
        <f t="shared" si="1"/>
        <v>4</v>
      </c>
      <c r="H7" s="8">
        <f t="shared" si="1"/>
        <v>5</v>
      </c>
      <c r="I7" s="8">
        <f t="shared" si="1"/>
        <v>6</v>
      </c>
      <c r="J7" s="8">
        <f t="shared" si="1"/>
        <v>7</v>
      </c>
      <c r="K7" s="8">
        <f t="shared" si="1"/>
        <v>8</v>
      </c>
      <c r="L7" s="8">
        <f t="shared" si="1"/>
        <v>9</v>
      </c>
      <c r="M7" s="8">
        <f t="shared" si="1"/>
        <v>10</v>
      </c>
      <c r="N7" s="8">
        <f t="shared" si="1"/>
        <v>11</v>
      </c>
      <c r="O7" s="8">
        <f t="shared" si="1"/>
        <v>12</v>
      </c>
      <c r="P7" s="8">
        <f t="shared" si="1"/>
        <v>13</v>
      </c>
      <c r="Q7" s="8">
        <f t="shared" si="1"/>
        <v>14</v>
      </c>
      <c r="R7" s="8">
        <f t="shared" si="1"/>
        <v>15</v>
      </c>
      <c r="S7" s="8">
        <f t="shared" si="1"/>
        <v>16</v>
      </c>
      <c r="T7" s="8">
        <f t="shared" si="1"/>
        <v>17</v>
      </c>
      <c r="U7" s="8">
        <f t="shared" si="1"/>
        <v>18</v>
      </c>
      <c r="V7" s="8">
        <f t="shared" si="1"/>
        <v>19</v>
      </c>
      <c r="W7" s="8">
        <f t="shared" si="1"/>
        <v>20</v>
      </c>
      <c r="X7" s="8">
        <f t="shared" si="1"/>
        <v>21</v>
      </c>
      <c r="Y7" s="8">
        <f t="shared" si="1"/>
        <v>22</v>
      </c>
      <c r="Z7" s="8">
        <f t="shared" si="1"/>
        <v>23</v>
      </c>
      <c r="AA7" s="8">
        <f t="shared" si="1"/>
        <v>24</v>
      </c>
      <c r="AB7" s="8">
        <f t="shared" si="1"/>
        <v>25</v>
      </c>
      <c r="AC7" s="8">
        <f t="shared" si="1"/>
        <v>26</v>
      </c>
      <c r="AD7" s="8">
        <f t="shared" si="1"/>
        <v>27</v>
      </c>
      <c r="AE7" s="8">
        <f t="shared" si="1"/>
        <v>28</v>
      </c>
      <c r="AF7" s="8">
        <f t="shared" si="1"/>
        <v>29</v>
      </c>
      <c r="AG7" s="8">
        <f t="shared" si="1"/>
        <v>30</v>
      </c>
      <c r="AH7" s="8" t="str">
        <f t="shared" si="1"/>
        <v/>
      </c>
      <c r="AI7" s="8" t="s">
        <v>6</v>
      </c>
      <c r="AJ7" s="8" t="s">
        <v>7</v>
      </c>
      <c r="AK7" s="8" t="s">
        <v>8</v>
      </c>
    </row>
    <row r="8" x14ac:dyDescent="0.25">
      <c r="B8" s="9" t="s">
        <v>9</v>
      </c>
      <c r="C8" s="10">
        <v>7</v>
      </c>
      <c r="D8" s="11" t="s">
        <v>10</v>
      </c>
      <c r="E8" s="11" t="s">
        <v>10</v>
      </c>
      <c r="F8" s="11" t="s">
        <v>10</v>
      </c>
      <c r="G8" s="11" t="s">
        <v>10</v>
      </c>
      <c r="H8" s="11" t="s">
        <v>10</v>
      </c>
      <c r="I8" s="11"/>
      <c r="J8" s="11" t="s">
        <v>10</v>
      </c>
      <c r="K8" s="11" t="s">
        <v>10</v>
      </c>
      <c r="L8" s="11" t="s">
        <v>10</v>
      </c>
      <c r="M8" s="11" t="s">
        <v>10</v>
      </c>
      <c r="N8" s="11"/>
      <c r="O8" s="11" t="s">
        <v>10</v>
      </c>
      <c r="P8" s="11" t="s">
        <v>10</v>
      </c>
      <c r="Q8" s="11" t="s">
        <v>10</v>
      </c>
      <c r="R8" s="11" t="s">
        <v>10</v>
      </c>
      <c r="S8" s="11" t="s">
        <v>10</v>
      </c>
      <c r="T8" s="11" t="s">
        <v>10</v>
      </c>
      <c r="U8" s="11" t="s">
        <v>10</v>
      </c>
      <c r="V8" s="11"/>
      <c r="W8" s="11" t="s">
        <v>10</v>
      </c>
      <c r="X8" s="11" t="s">
        <v>10</v>
      </c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>
        <f t="shared" ref="AI8:AI15" si="2">IF($B8="","",COUNTIF($D8:$AH8,"x"))</f>
        <v>18</v>
      </c>
      <c r="AJ8" s="11">
        <f t="shared" ref="AJ8:AJ15" si="3">IF(OR($B8="",$C8=""),"",ROUND($C8*MonthDays/7,0))</f>
        <v>30</v>
      </c>
      <c r="AK8" s="12">
        <f t="shared" ref="AK8:AK15" si="4">IF(OR(AJ8="",AJ8=0),"",MIN(1,AI8/AJ8))</f>
        <v>0.6</v>
      </c>
    </row>
    <row r="9" x14ac:dyDescent="0.25">
      <c r="B9" s="9" t="s">
        <v>11</v>
      </c>
      <c r="C9" s="10">
        <v>5</v>
      </c>
      <c r="D9" s="11" t="s">
        <v>10</v>
      </c>
      <c r="E9" s="11"/>
      <c r="F9" s="11" t="s">
        <v>10</v>
      </c>
      <c r="G9" s="11" t="s">
        <v>10</v>
      </c>
      <c r="H9" s="11"/>
      <c r="I9" s="11" t="s">
        <v>10</v>
      </c>
      <c r="J9" s="11"/>
      <c r="K9" s="11" t="s">
        <v>10</v>
      </c>
      <c r="L9" s="11" t="s">
        <v>10</v>
      </c>
      <c r="M9" s="11" t="s">
        <v>10</v>
      </c>
      <c r="N9" s="11"/>
      <c r="O9" s="11" t="s">
        <v>10</v>
      </c>
      <c r="P9" s="11"/>
      <c r="Q9" s="11" t="s">
        <v>10</v>
      </c>
      <c r="R9" s="11" t="s">
        <v>10</v>
      </c>
      <c r="S9" s="11" t="s">
        <v>10</v>
      </c>
      <c r="T9" s="11"/>
      <c r="U9" s="11"/>
      <c r="V9" s="11" t="s">
        <v>10</v>
      </c>
      <c r="W9" s="11"/>
      <c r="X9" s="11" t="s">
        <v>10</v>
      </c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>
        <f t="shared" si="2"/>
        <v>13</v>
      </c>
      <c r="AJ9" s="11">
        <f t="shared" si="3"/>
        <v>21</v>
      </c>
      <c r="AK9" s="12">
        <f t="shared" si="4"/>
        <v>0.6190476190476191</v>
      </c>
    </row>
    <row r="10" x14ac:dyDescent="0.25">
      <c r="B10" s="9" t="s">
        <v>12</v>
      </c>
      <c r="C10" s="10">
        <v>5</v>
      </c>
      <c r="D10" s="11" t="s">
        <v>10</v>
      </c>
      <c r="E10" s="11" t="s">
        <v>10</v>
      </c>
      <c r="F10" s="11"/>
      <c r="G10" s="11" t="s">
        <v>10</v>
      </c>
      <c r="H10" s="11"/>
      <c r="I10" s="11" t="s">
        <v>10</v>
      </c>
      <c r="J10" s="11" t="s">
        <v>10</v>
      </c>
      <c r="K10" s="11"/>
      <c r="L10" s="11"/>
      <c r="M10" s="11" t="s">
        <v>10</v>
      </c>
      <c r="N10" s="11" t="s">
        <v>10</v>
      </c>
      <c r="O10" s="11" t="s">
        <v>10</v>
      </c>
      <c r="P10" s="11"/>
      <c r="Q10" s="11" t="s">
        <v>10</v>
      </c>
      <c r="R10" s="11"/>
      <c r="S10" s="11" t="s">
        <v>10</v>
      </c>
      <c r="T10" s="11" t="s">
        <v>10</v>
      </c>
      <c r="U10" s="11"/>
      <c r="V10" s="11" t="s">
        <v>10</v>
      </c>
      <c r="W10" s="11" t="s">
        <v>10</v>
      </c>
      <c r="X10" s="11" t="s">
        <v>10</v>
      </c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>
        <f t="shared" si="2"/>
        <v>14</v>
      </c>
      <c r="AJ10" s="11">
        <f t="shared" si="3"/>
        <v>21</v>
      </c>
      <c r="AK10" s="12">
        <f t="shared" si="4"/>
        <v>0.6666666666666666</v>
      </c>
    </row>
    <row r="11" x14ac:dyDescent="0.25">
      <c r="B11" s="9" t="s">
        <v>13</v>
      </c>
      <c r="C11" s="10">
        <v>4</v>
      </c>
      <c r="D11" s="11"/>
      <c r="E11" s="11" t="s">
        <v>10</v>
      </c>
      <c r="F11" s="11"/>
      <c r="G11" s="11"/>
      <c r="H11" s="11" t="s">
        <v>10</v>
      </c>
      <c r="I11" s="11"/>
      <c r="J11" s="11" t="s">
        <v>10</v>
      </c>
      <c r="K11" s="11"/>
      <c r="L11" s="11"/>
      <c r="M11" s="11" t="s">
        <v>10</v>
      </c>
      <c r="N11" s="11"/>
      <c r="O11" s="11"/>
      <c r="P11" s="11" t="s">
        <v>10</v>
      </c>
      <c r="Q11" s="11"/>
      <c r="R11" s="11" t="s">
        <v>10</v>
      </c>
      <c r="S11" s="11"/>
      <c r="T11" s="11"/>
      <c r="U11" s="11"/>
      <c r="V11" s="11" t="s">
        <v>10</v>
      </c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>
        <f t="shared" si="2"/>
        <v>7</v>
      </c>
      <c r="AJ11" s="11">
        <f t="shared" si="3"/>
        <v>17</v>
      </c>
      <c r="AK11" s="12">
        <f t="shared" si="4"/>
        <v>0.4117647058823529</v>
      </c>
    </row>
    <row r="12" x14ac:dyDescent="0.25">
      <c r="B12" s="9" t="s">
        <v>14</v>
      </c>
      <c r="C12" s="10">
        <v>3</v>
      </c>
      <c r="D12" s="11" t="s">
        <v>10</v>
      </c>
      <c r="E12" s="11"/>
      <c r="F12" s="11"/>
      <c r="G12" s="11" t="s">
        <v>10</v>
      </c>
      <c r="H12" s="11"/>
      <c r="I12" s="11"/>
      <c r="J12" s="11" t="s">
        <v>10</v>
      </c>
      <c r="K12" s="11"/>
      <c r="L12" s="11"/>
      <c r="M12" s="11" t="s">
        <v>10</v>
      </c>
      <c r="N12" s="11"/>
      <c r="O12" s="11"/>
      <c r="P12" s="11" t="s">
        <v>10</v>
      </c>
      <c r="Q12" s="11"/>
      <c r="R12" s="11"/>
      <c r="S12" s="11" t="s">
        <v>10</v>
      </c>
      <c r="T12" s="11"/>
      <c r="U12" s="11"/>
      <c r="V12" s="11" t="s">
        <v>10</v>
      </c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>
        <f t="shared" si="2"/>
        <v>7</v>
      </c>
      <c r="AJ12" s="11">
        <f t="shared" si="3"/>
        <v>13</v>
      </c>
      <c r="AK12" s="12">
        <f t="shared" si="4"/>
        <v>0.5384615384615384</v>
      </c>
    </row>
    <row r="13" x14ac:dyDescent="0.25">
      <c r="B13" s="9"/>
      <c r="C13" s="1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 t="str">
        <f t="shared" si="2"/>
        <v/>
      </c>
      <c r="AJ13" s="11" t="str">
        <f t="shared" si="3"/>
        <v/>
      </c>
      <c r="AK13" s="12" t="str">
        <f t="shared" si="4"/>
        <v/>
      </c>
    </row>
    <row r="14" x14ac:dyDescent="0.25">
      <c r="B14" s="9"/>
      <c r="C14" s="10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 t="str">
        <f t="shared" si="2"/>
        <v/>
      </c>
      <c r="AJ14" s="11" t="str">
        <f t="shared" si="3"/>
        <v/>
      </c>
      <c r="AK14" s="12" t="str">
        <f t="shared" si="4"/>
        <v/>
      </c>
    </row>
    <row r="15" x14ac:dyDescent="0.25">
      <c r="B15" s="9"/>
      <c r="C15" s="10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 t="str">
        <f t="shared" si="2"/>
        <v/>
      </c>
      <c r="AJ15" s="11" t="str">
        <f t="shared" si="3"/>
        <v/>
      </c>
      <c r="AK15" s="12" t="str">
        <f t="shared" si="4"/>
        <v/>
      </c>
    </row>
    <row r="16" x14ac:dyDescent="0.25">
      <c r="B16" s="13" t="s">
        <v>15</v>
      </c>
      <c r="C16" s="13"/>
      <c r="D16" s="14">
        <f t="shared" ref="D16:AH16" si="5">IF(D$7="","",COUNTIF(D$8:D$15,"x"))</f>
        <v>4</v>
      </c>
      <c r="E16" s="14">
        <f t="shared" si="5"/>
        <v>3</v>
      </c>
      <c r="F16" s="14">
        <f t="shared" si="5"/>
        <v>2</v>
      </c>
      <c r="G16" s="14">
        <f t="shared" si="5"/>
        <v>4</v>
      </c>
      <c r="H16" s="14">
        <f t="shared" si="5"/>
        <v>2</v>
      </c>
      <c r="I16" s="14">
        <f t="shared" si="5"/>
        <v>2</v>
      </c>
      <c r="J16" s="14">
        <f t="shared" si="5"/>
        <v>4</v>
      </c>
      <c r="K16" s="14">
        <f t="shared" si="5"/>
        <v>2</v>
      </c>
      <c r="L16" s="14">
        <f t="shared" si="5"/>
        <v>2</v>
      </c>
      <c r="M16" s="14">
        <f t="shared" si="5"/>
        <v>5</v>
      </c>
      <c r="N16" s="14">
        <f t="shared" si="5"/>
        <v>1</v>
      </c>
      <c r="O16" s="14">
        <f t="shared" si="5"/>
        <v>3</v>
      </c>
      <c r="P16" s="14">
        <f t="shared" si="5"/>
        <v>3</v>
      </c>
      <c r="Q16" s="14">
        <f t="shared" si="5"/>
        <v>3</v>
      </c>
      <c r="R16" s="14">
        <f t="shared" si="5"/>
        <v>3</v>
      </c>
      <c r="S16" s="14">
        <f t="shared" si="5"/>
        <v>4</v>
      </c>
      <c r="T16" s="14">
        <f t="shared" si="5"/>
        <v>2</v>
      </c>
      <c r="U16" s="14">
        <f t="shared" si="5"/>
        <v>1</v>
      </c>
      <c r="V16" s="14">
        <f t="shared" si="5"/>
        <v>4</v>
      </c>
      <c r="W16" s="14">
        <f t="shared" si="5"/>
        <v>2</v>
      </c>
      <c r="X16" s="14">
        <f t="shared" si="5"/>
        <v>3</v>
      </c>
      <c r="Y16" s="14">
        <f t="shared" si="5"/>
        <v>0</v>
      </c>
      <c r="Z16" s="14">
        <f t="shared" si="5"/>
        <v>0</v>
      </c>
      <c r="AA16" s="14">
        <f t="shared" si="5"/>
        <v>0</v>
      </c>
      <c r="AB16" s="14">
        <f t="shared" si="5"/>
        <v>0</v>
      </c>
      <c r="AC16" s="14">
        <f t="shared" si="5"/>
        <v>0</v>
      </c>
      <c r="AD16" s="14">
        <f t="shared" si="5"/>
        <v>0</v>
      </c>
      <c r="AE16" s="14">
        <f t="shared" si="5"/>
        <v>0</v>
      </c>
      <c r="AF16" s="14">
        <f t="shared" si="5"/>
        <v>0</v>
      </c>
      <c r="AG16" s="14">
        <f t="shared" si="5"/>
        <v>0</v>
      </c>
      <c r="AH16" s="14" t="str">
        <f t="shared" si="5"/>
        <v/>
      </c>
      <c r="AI16" s="14">
        <f t="shared" ref="AI16:AJ16" si="6">SUM(AI8:AI15)</f>
        <v>59</v>
      </c>
      <c r="AJ16" s="14">
        <f t="shared" si="6"/>
        <v>102</v>
      </c>
      <c r="AK16" s="15">
        <f>IF(AJ16=0,"",MIN(1,AI16/AJ16))</f>
        <v>0.5784313725490197</v>
      </c>
    </row>
  </sheetData>
  <conditionalFormatting sqref="AK8:AK16">
    <cfRule type="expression" dxfId="0" priority="1">
      <formula>AND(ISNUMBER(AK8),AK8&gt;=1)</formula>
    </cfRule>
  </conditionalFormatting>
  <conditionalFormatting sqref="D6:AH6">
    <cfRule type="expression" dxfId="1" priority="2">
      <formula>OR(D6="Sa",D6="Su")</formula>
    </cfRule>
  </conditionalFormatting>
  <conditionalFormatting sqref="D6:AH15">
    <cfRule type="expression" dxfId="2" priority="3">
      <formula>D$7=""</formula>
    </cfRule>
  </conditionalFormatting>
  <conditionalFormatting sqref="D8:AH15">
    <cfRule type="expression" dxfId="3" priority="4">
      <formula>LOWER(D8)="x"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SheetXL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Habits</vt:lpstr>
      <vt:lpstr>MonthDays</vt:lpstr>
      <vt:lpstr>MonthStart</vt:lpstr>
    </vt:vector>
  </TitlesOfParts>
  <Company>SheetXL Inc</Company>
  <LinksUpToDate>false</LinksUpToDate>
  <SharedDoc>false</SharedDoc>
  <HyperlinksChanged>false</HyperlinksChanged>
  <AppVersion>0.0008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SheetXL</dc:creator>
  <cp:lastModifiedBy>SheetXL</cp:lastModifiedBy>
  <dcterms:created xsi:type="dcterms:W3CDTF">2026-09-23T15:34:55Z</dcterms:created>
  <dcterms:modified xsi:type="dcterms:W3CDTF">2026-09-23T15:34:55Z</dcterms:modified>
</cp:coreProperties>
</file>