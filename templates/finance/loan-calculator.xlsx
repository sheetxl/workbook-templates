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Loan" sheetId="1" r:id="rId1"/>
  </sheets>
  <definedNames>
    <definedName name="AnnualRate">Loan!$C$7</definedName>
    <definedName name="FirstPayment">Loan!$C$10</definedName>
    <definedName name="LoanAmount">Loan!$C$6</definedName>
    <definedName name="Payment">Loan!$F$6</definedName>
    <definedName name="PaymentsPerYear">Loan!$C$9</definedName>
    <definedName name="Periods">Loan!$F$7</definedName>
    <definedName name="TermYears">Loan!$C$8</definedName>
  </definedNames>
</workbook>
</file>

<file path=xl/sharedStrings.xml><?xml version="1.0" encoding="utf-8"?>
<sst xmlns="http://schemas.openxmlformats.org/spreadsheetml/2006/main" count="22" uniqueCount="21">
  <si>
    <t>Loan Calculator</t>
  </si>
  <si>
    <t>Enter the loan terms in the yellow cells. The schedule updates as you type.</t>
  </si>
  <si>
    <t>Loan terms</t>
  </si>
  <si>
    <t>Summary</t>
  </si>
  <si>
    <t>Loan amount</t>
  </si>
  <si>
    <t>Payment</t>
  </si>
  <si>
    <t>Annual interest rate</t>
  </si>
  <si>
    <t>Number of payments</t>
  </si>
  <si>
    <t>Term (years)</t>
  </si>
  <si>
    <t>Total paid</t>
  </si>
  <si>
    <t>Payments per year</t>
  </si>
  <si>
    <t>Total interest</t>
  </si>
  <si>
    <t>First payment date</t>
  </si>
  <si>
    <t>Payoff date</t>
  </si>
  <si>
    <t>Amortization schedule</t>
  </si>
  <si>
    <t>#</t>
  </si>
  <si>
    <t>Payment date</t>
  </si>
  <si>
    <t>Beginning balance</t>
  </si>
  <si>
    <t>Principal</t>
  </si>
  <si>
    <t>Interest</t>
  </si>
  <si>
    <t>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</si>
</sst>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$#,##0"/>
    <numFmt numFmtId="165" formatCode="$#,##0.00"/>
    <numFmt numFmtId="166" formatCode="mmm d, yyyy"/>
  </numFmts>
  <fonts count="7" x14ac:knownFonts="1">
    <font>
      <sz val="11"/>
      <color theme="1"/>
      <name val="Calibri"/>
      <scheme val="minor"/>
    </font>
    <font>
      <b/>
      <sz val="18"/>
      <color rgb="FF1F4E79"/>
      <name val="Calibri"/>
      <scheme val="minor"/>
    </font>
    <font>
      <i/>
      <sz val="11"/>
      <color rgb="FF616E7C"/>
      <name val="Calibri"/>
      <scheme val="minor"/>
    </font>
    <font>
      <b/>
      <sz val="11"/>
      <color rgb="FF1F4E79"/>
      <name val="Calibri"/>
      <scheme val="minor"/>
    </font>
    <font>
      <sz val="11"/>
      <color rgb="FF1F4E79"/>
      <name val="Calibri"/>
      <scheme val="minor"/>
    </font>
    <font>
      <b/>
      <sz val="14"/>
      <color rgb="FF1F4E79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6DB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4" fillId="2" borderId="0" xfId="0" applyFont="1" applyFill="1" applyNumberFormat="1"/>
    <xf numFmtId="165" fontId="5" fillId="0" borderId="0" xfId="0" applyFont="1" applyNumberFormat="1"/>
    <xf numFmtId="10" fontId="4" fillId="2" borderId="0" xfId="0" applyFont="1" applyFill="1" applyNumberFormat="1"/>
    <xf numFmtId="1" fontId="0" fillId="0" borderId="0" xfId="0" applyNumberFormat="1"/>
    <xf numFmtId="1" fontId="4" fillId="2" borderId="0" xfId="0" applyFont="1" applyFill="1" applyNumberFormat="1"/>
    <xf numFmtId="165" fontId="0" fillId="0" borderId="0" xfId="0" applyNumberFormat="1"/>
    <xf numFmtId="166" fontId="4" fillId="2" borderId="0" xfId="0" applyFont="1" applyFill="1" applyNumberFormat="1"/>
    <xf numFmtId="166" fontId="0" fillId="0" borderId="0" xfId="0" applyNumberFormat="1" applyAlignment="1">
      <alignment horizontal="right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/>
  </cellXfs>
  <cellStyles count="1">
    <cellStyle name="Normal" xfId="0" builtinId="0" customBuiltin="1"/>
  </cellStyles>
  <dxfs count="1">
    <dxf>
      <fill>
        <patternFill patternType="solid">
          <fgColor rgb="FFF5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381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  <a:fillToRect l="50000" t="-80000" r="50000" b="18000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  <a:fillToRect l="50000" t="50000" r="50000" b="5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73"/>
  <sheetViews>
    <sheetView showGridLines="0" tabSelected="1" workbookViewId="0">
      <pane ySplit="13" topLeftCell="A14" state="frozen" activePane="bottomLeft"/>
    </sheetView>
  </sheetViews>
  <sheetFormatPr defaultRowHeight="15" x14ac:dyDescent="0.25"/>
  <cols>
    <col min="1" max="1" width="2.3984375" customWidth="1"/>
    <col min="2" max="2" width="20" customWidth="1"/>
    <col min="3" max="3" width="13" customWidth="1"/>
    <col min="4" max="4" width="17.5" customWidth="1"/>
    <col min="5" max="5" width="19" customWidth="1"/>
    <col min="6" max="6" width="13" customWidth="1"/>
    <col min="7" max="7" width="12" customWidth="1"/>
    <col min="8" max="8" width="15" customWidth="1"/>
  </cols>
  <sheetData>
    <row r="2" x14ac:dyDescent="0.25">
      <c r="B2" s="1" t="s">
        <v>0</v>
      </c>
    </row>
    <row r="3" x14ac:dyDescent="0.25">
      <c r="B3" s="2" t="s">
        <v>1</v>
      </c>
    </row>
    <row r="5" x14ac:dyDescent="0.25">
      <c r="B5" s="3" t="s">
        <v>2</v>
      </c>
      <c r="C5" s="3"/>
      <c r="E5" s="3" t="s">
        <v>3</v>
      </c>
      <c r="F5" s="3"/>
    </row>
    <row r="6" ht="18.75" x14ac:dyDescent="0.25">
      <c r="B6" t="s">
        <v>4</v>
      </c>
      <c r="C6" s="4">
        <v>250000</v>
      </c>
      <c r="E6" t="s">
        <v>5</v>
      </c>
      <c r="F6" s="5">
        <f>IFERROR(PMT(AnnualRate/PaymentsPerYear,Periods,-LoanAmount),0)</f>
        <v>1580.1700587324092</v>
      </c>
    </row>
    <row r="7" x14ac:dyDescent="0.25">
      <c r="B7" t="s">
        <v>6</v>
      </c>
      <c r="C7" s="6">
        <v>0.065</v>
      </c>
      <c r="E7" t="s">
        <v>7</v>
      </c>
      <c r="F7" s="7">
        <f>TermYears*PaymentsPerYear</f>
        <v>360</v>
      </c>
    </row>
    <row r="8" x14ac:dyDescent="0.25">
      <c r="B8" t="s">
        <v>8</v>
      </c>
      <c r="C8" s="8">
        <v>30</v>
      </c>
      <c r="E8" t="s">
        <v>9</v>
      </c>
      <c r="F8" s="9">
        <f>Payment*Periods</f>
        <v>568861.2211436674</v>
      </c>
    </row>
    <row r="9" x14ac:dyDescent="0.25">
      <c r="B9" t="s">
        <v>10</v>
      </c>
      <c r="C9" s="8">
        <v>12</v>
      </c>
      <c r="E9" t="s">
        <v>11</v>
      </c>
      <c r="F9" s="9">
        <f>F8-LoanAmount</f>
        <v>318861.22114366735</v>
      </c>
    </row>
    <row r="10" x14ac:dyDescent="0.25">
      <c r="B10" t="s">
        <v>12</v>
      </c>
      <c r="C10" s="10">
        <v>46388</v>
      </c>
      <c r="E10" t="s">
        <v>13</v>
      </c>
      <c r="F10" s="11">
        <f>IF(Periods&gt;360,"Over 360 payments",IF(MOD(12,PaymentsPerYear)=0,EDATE(FirstPayment,(Periods-1)*12/PaymentsPerYear),FirstPayment+ROUND((Periods-1)*364/PaymentsPerYear,0)))</f>
        <v>57315</v>
      </c>
    </row>
    <row r="12" x14ac:dyDescent="0.25">
      <c r="B12" s="3" t="s">
        <v>14</v>
      </c>
      <c r="C12" s="3"/>
      <c r="D12" s="3"/>
      <c r="E12" s="3"/>
      <c r="F12" s="3"/>
      <c r="G12" s="3"/>
      <c r="H12" s="3"/>
    </row>
    <row r="13" x14ac:dyDescent="0.25">
      <c r="B13" s="12" t="s">
        <v>15</v>
      </c>
      <c r="C13" s="12" t="s">
        <v>16</v>
      </c>
      <c r="D13" s="12" t="s">
        <v>17</v>
      </c>
      <c r="E13" s="12" t="s">
        <v>5</v>
      </c>
      <c r="F13" s="12" t="s">
        <v>18</v>
      </c>
      <c r="G13" s="12" t="s">
        <v>19</v>
      </c>
      <c r="H13" s="12" t="s">
        <v>20</v>
      </c>
    </row>
    <row r="14" x14ac:dyDescent="0.25">
      <c r="B14" s="13">
        <f t="shared" ref="B14:B373" si="0">IF(ROWS($B$14:B14)&lt;=Periods,ROWS($B$14:B14),"")</f>
        <v>1</v>
      </c>
      <c r="C14" s="14">
        <f t="shared" ref="C14:C373" si="1">IF(B14="","",IF(MOD(12,PaymentsPerYear)=0,EDATE(FirstPayment,(B14-1)*12/PaymentsPerYear),FirstPayment+ROUND((B14-1)*364/PaymentsPerYear,0)))</f>
        <v>46388</v>
      </c>
      <c r="D14" s="9">
        <f>IF(B14="","",LoanAmount)</f>
        <v>250000</v>
      </c>
      <c r="E14" s="9">
        <f t="shared" ref="E14:E373" si="2">IF(B14="","",MIN(Payment,D14*(1+AnnualRate/PaymentsPerYear)))</f>
        <v>1580.1700587324092</v>
      </c>
      <c r="F14" s="9">
        <f t="shared" ref="F14:F373" si="3">IF(B14="","",E14-G14)</f>
        <v>226.00339206574245</v>
      </c>
      <c r="G14" s="9">
        <f t="shared" ref="G14:G373" si="4">IF(B14="","",D14*AnnualRate/PaymentsPerYear)</f>
        <v>1354.1666666666667</v>
      </c>
      <c r="H14" s="9">
        <f t="shared" ref="H14:H373" si="5">IF(B14="","",D14-F14)</f>
        <v>249773.99660793427</v>
      </c>
    </row>
    <row r="15" x14ac:dyDescent="0.25">
      <c r="B15" s="13">
        <f t="shared" si="0"/>
        <v>2</v>
      </c>
      <c r="C15" s="14">
        <f t="shared" si="1"/>
        <v>46419</v>
      </c>
      <c r="D15" s="9">
        <f t="shared" ref="D15:D373" si="6">IF(B15="","",H14)</f>
        <v>249773.99660793427</v>
      </c>
      <c r="E15" s="9">
        <f t="shared" si="2"/>
        <v>1580.1700587324092</v>
      </c>
      <c r="F15" s="9">
        <f t="shared" si="3"/>
        <v>227.22757710609858</v>
      </c>
      <c r="G15" s="9">
        <f t="shared" si="4"/>
        <v>1352.9424816263106</v>
      </c>
      <c r="H15" s="9">
        <f t="shared" si="5"/>
        <v>249546.76903082817</v>
      </c>
    </row>
    <row r="16" x14ac:dyDescent="0.25">
      <c r="B16" s="13">
        <f t="shared" si="0"/>
        <v>3</v>
      </c>
      <c r="C16" s="14">
        <f t="shared" si="1"/>
        <v>46447</v>
      </c>
      <c r="D16" s="9">
        <f t="shared" si="6"/>
        <v>249546.76903082817</v>
      </c>
      <c r="E16" s="9">
        <f t="shared" si="2"/>
        <v>1580.1700587324092</v>
      </c>
      <c r="F16" s="9">
        <f t="shared" si="3"/>
        <v>228.4583931487564</v>
      </c>
      <c r="G16" s="9">
        <f t="shared" si="4"/>
        <v>1351.7116655836528</v>
      </c>
      <c r="H16" s="9">
        <f t="shared" si="5"/>
        <v>249318.31063767942</v>
      </c>
    </row>
    <row r="17" x14ac:dyDescent="0.25">
      <c r="B17" s="13">
        <f t="shared" si="0"/>
        <v>4</v>
      </c>
      <c r="C17" s="14">
        <f t="shared" si="1"/>
        <v>46478</v>
      </c>
      <c r="D17" s="9">
        <f t="shared" si="6"/>
        <v>249318.31063767942</v>
      </c>
      <c r="E17" s="9">
        <f t="shared" si="2"/>
        <v>1580.1700587324092</v>
      </c>
      <c r="F17" s="9">
        <f t="shared" si="3"/>
        <v>229.6958761116457</v>
      </c>
      <c r="G17" s="9">
        <f t="shared" si="4"/>
        <v>1350.4741826207635</v>
      </c>
      <c r="H17" s="9">
        <f t="shared" si="5"/>
        <v>249088.61476156776</v>
      </c>
    </row>
    <row r="18" x14ac:dyDescent="0.25">
      <c r="B18" s="13">
        <f t="shared" si="0"/>
        <v>5</v>
      </c>
      <c r="C18" s="14">
        <f t="shared" si="1"/>
        <v>46508</v>
      </c>
      <c r="D18" s="9">
        <f t="shared" si="6"/>
        <v>249088.61476156776</v>
      </c>
      <c r="E18" s="9">
        <f t="shared" si="2"/>
        <v>1580.1700587324092</v>
      </c>
      <c r="F18" s="9">
        <f t="shared" si="3"/>
        <v>230.94006210725047</v>
      </c>
      <c r="G18" s="9">
        <f t="shared" si="4"/>
        <v>1349.2299966251587</v>
      </c>
      <c r="H18" s="9">
        <f t="shared" si="5"/>
        <v>248857.6746994605</v>
      </c>
    </row>
    <row r="19" x14ac:dyDescent="0.25">
      <c r="B19" s="13">
        <f t="shared" si="0"/>
        <v>6</v>
      </c>
      <c r="C19" s="14">
        <f t="shared" si="1"/>
        <v>46539</v>
      </c>
      <c r="D19" s="9">
        <f t="shared" si="6"/>
        <v>248857.6746994605</v>
      </c>
      <c r="E19" s="9">
        <f t="shared" si="2"/>
        <v>1580.1700587324092</v>
      </c>
      <c r="F19" s="9">
        <f t="shared" si="3"/>
        <v>232.19098744366465</v>
      </c>
      <c r="G19" s="9">
        <f t="shared" si="4"/>
        <v>1347.9790712887445</v>
      </c>
      <c r="H19" s="9">
        <f t="shared" si="5"/>
        <v>248625.48371201684</v>
      </c>
    </row>
    <row r="20" x14ac:dyDescent="0.25">
      <c r="B20" s="13">
        <f t="shared" si="0"/>
        <v>7</v>
      </c>
      <c r="C20" s="14">
        <f t="shared" si="1"/>
        <v>46569</v>
      </c>
      <c r="D20" s="9">
        <f t="shared" si="6"/>
        <v>248625.48371201684</v>
      </c>
      <c r="E20" s="9">
        <f t="shared" si="2"/>
        <v>1580.1700587324092</v>
      </c>
      <c r="F20" s="9">
        <f t="shared" si="3"/>
        <v>233.44868862565136</v>
      </c>
      <c r="G20" s="9">
        <f t="shared" si="4"/>
        <v>1346.7213701067578</v>
      </c>
      <c r="H20" s="9">
        <f t="shared" si="5"/>
        <v>248392.0350233912</v>
      </c>
    </row>
    <row r="21" x14ac:dyDescent="0.25">
      <c r="B21" s="13">
        <f t="shared" si="0"/>
        <v>8</v>
      </c>
      <c r="C21" s="14">
        <f t="shared" si="1"/>
        <v>46600</v>
      </c>
      <c r="D21" s="9">
        <f t="shared" si="6"/>
        <v>248392.0350233912</v>
      </c>
      <c r="E21" s="9">
        <f t="shared" si="2"/>
        <v>1580.1700587324092</v>
      </c>
      <c r="F21" s="9">
        <f t="shared" si="3"/>
        <v>234.71320235570693</v>
      </c>
      <c r="G21" s="9">
        <f t="shared" si="4"/>
        <v>1345.4568563767023</v>
      </c>
      <c r="H21" s="9">
        <f t="shared" si="5"/>
        <v>248157.32182103547</v>
      </c>
    </row>
    <row r="22" x14ac:dyDescent="0.25">
      <c r="B22" s="13">
        <f t="shared" si="0"/>
        <v>9</v>
      </c>
      <c r="C22" s="14">
        <f t="shared" si="1"/>
        <v>46631</v>
      </c>
      <c r="D22" s="9">
        <f t="shared" si="6"/>
        <v>248157.32182103547</v>
      </c>
      <c r="E22" s="9">
        <f t="shared" si="2"/>
        <v>1580.1700587324092</v>
      </c>
      <c r="F22" s="9">
        <f t="shared" si="3"/>
        <v>235.9845655351337</v>
      </c>
      <c r="G22" s="9">
        <f t="shared" si="4"/>
        <v>1344.1854931972755</v>
      </c>
      <c r="H22" s="9">
        <f t="shared" si="5"/>
        <v>247921.33725550034</v>
      </c>
    </row>
    <row r="23" x14ac:dyDescent="0.25">
      <c r="B23" s="13">
        <f t="shared" si="0"/>
        <v>10</v>
      </c>
      <c r="C23" s="14">
        <f t="shared" si="1"/>
        <v>46661</v>
      </c>
      <c r="D23" s="9">
        <f t="shared" si="6"/>
        <v>247921.33725550034</v>
      </c>
      <c r="E23" s="9">
        <f t="shared" si="2"/>
        <v>1580.1700587324092</v>
      </c>
      <c r="F23" s="9">
        <f t="shared" si="3"/>
        <v>237.26281526511548</v>
      </c>
      <c r="G23" s="9">
        <f t="shared" si="4"/>
        <v>1342.9072434672937</v>
      </c>
      <c r="H23" s="9">
        <f t="shared" si="5"/>
        <v>247684.07444023524</v>
      </c>
    </row>
    <row r="24" x14ac:dyDescent="0.25">
      <c r="B24" s="13">
        <f t="shared" si="0"/>
        <v>11</v>
      </c>
      <c r="C24" s="14">
        <f t="shared" si="1"/>
        <v>46692</v>
      </c>
      <c r="D24" s="9">
        <f t="shared" si="6"/>
        <v>247684.07444023524</v>
      </c>
      <c r="E24" s="9">
        <f t="shared" si="2"/>
        <v>1580.1700587324092</v>
      </c>
      <c r="F24" s="9">
        <f t="shared" si="3"/>
        <v>238.54798884780166</v>
      </c>
      <c r="G24" s="9">
        <f t="shared" si="4"/>
        <v>1341.6220698846075</v>
      </c>
      <c r="H24" s="9">
        <f t="shared" si="5"/>
        <v>247445.52645138744</v>
      </c>
    </row>
    <row r="25" x14ac:dyDescent="0.25">
      <c r="B25" s="13">
        <f t="shared" si="0"/>
        <v>12</v>
      </c>
      <c r="C25" s="14">
        <f t="shared" si="1"/>
        <v>46722</v>
      </c>
      <c r="D25" s="9">
        <f t="shared" si="6"/>
        <v>247445.52645138744</v>
      </c>
      <c r="E25" s="9">
        <f t="shared" si="2"/>
        <v>1580.1700587324092</v>
      </c>
      <c r="F25" s="9">
        <f t="shared" si="3"/>
        <v>239.84012378739385</v>
      </c>
      <c r="G25" s="9">
        <f t="shared" si="4"/>
        <v>1340.3299349450153</v>
      </c>
      <c r="H25" s="9">
        <f t="shared" si="5"/>
        <v>247205.68632760004</v>
      </c>
    </row>
    <row r="26" x14ac:dyDescent="0.25">
      <c r="B26" s="13">
        <f t="shared" si="0"/>
        <v>13</v>
      </c>
      <c r="C26" s="14">
        <f t="shared" si="1"/>
        <v>46753</v>
      </c>
      <c r="D26" s="9">
        <f t="shared" si="6"/>
        <v>247205.68632760004</v>
      </c>
      <c r="E26" s="9">
        <f t="shared" si="2"/>
        <v>1580.1700587324092</v>
      </c>
      <c r="F26" s="9">
        <f t="shared" si="3"/>
        <v>241.13925779124224</v>
      </c>
      <c r="G26" s="9">
        <f t="shared" si="4"/>
        <v>1339.030800941167</v>
      </c>
      <c r="H26" s="9">
        <f t="shared" si="5"/>
        <v>246964.5470698088</v>
      </c>
    </row>
    <row r="27" x14ac:dyDescent="0.25">
      <c r="B27" s="13">
        <f t="shared" si="0"/>
        <v>14</v>
      </c>
      <c r="C27" s="14">
        <f t="shared" si="1"/>
        <v>46784</v>
      </c>
      <c r="D27" s="9">
        <f t="shared" si="6"/>
        <v>246964.5470698088</v>
      </c>
      <c r="E27" s="9">
        <f t="shared" si="2"/>
        <v>1580.1700587324092</v>
      </c>
      <c r="F27" s="9">
        <f t="shared" si="3"/>
        <v>242.445428770945</v>
      </c>
      <c r="G27" s="9">
        <f t="shared" si="4"/>
        <v>1337.7246299614642</v>
      </c>
      <c r="H27" s="9">
        <f t="shared" si="5"/>
        <v>246722.10164103785</v>
      </c>
    </row>
    <row r="28" x14ac:dyDescent="0.25">
      <c r="B28" s="13">
        <f t="shared" si="0"/>
        <v>15</v>
      </c>
      <c r="C28" s="14">
        <f t="shared" si="1"/>
        <v>46813</v>
      </c>
      <c r="D28" s="9">
        <f t="shared" si="6"/>
        <v>246722.10164103785</v>
      </c>
      <c r="E28" s="9">
        <f t="shared" si="2"/>
        <v>1580.1700587324092</v>
      </c>
      <c r="F28" s="9">
        <f t="shared" si="3"/>
        <v>243.75867484345417</v>
      </c>
      <c r="G28" s="9">
        <f t="shared" si="4"/>
        <v>1336.411383888955</v>
      </c>
      <c r="H28" s="9">
        <f t="shared" si="5"/>
        <v>246478.3429661944</v>
      </c>
    </row>
    <row r="29" x14ac:dyDescent="0.25">
      <c r="B29" s="13">
        <f t="shared" si="0"/>
        <v>16</v>
      </c>
      <c r="C29" s="14">
        <f t="shared" si="1"/>
        <v>46844</v>
      </c>
      <c r="D29" s="9">
        <f t="shared" si="6"/>
        <v>246478.3429661944</v>
      </c>
      <c r="E29" s="9">
        <f t="shared" si="2"/>
        <v>1580.1700587324092</v>
      </c>
      <c r="F29" s="9">
        <f t="shared" si="3"/>
        <v>245.0790343321894</v>
      </c>
      <c r="G29" s="9">
        <f t="shared" si="4"/>
        <v>1335.0910244002198</v>
      </c>
      <c r="H29" s="9">
        <f t="shared" si="5"/>
        <v>246233.26393186222</v>
      </c>
    </row>
    <row r="30" x14ac:dyDescent="0.25">
      <c r="B30" s="13">
        <f t="shared" si="0"/>
        <v>17</v>
      </c>
      <c r="C30" s="14">
        <f t="shared" si="1"/>
        <v>46874</v>
      </c>
      <c r="D30" s="9">
        <f t="shared" si="6"/>
        <v>246233.26393186222</v>
      </c>
      <c r="E30" s="9">
        <f t="shared" si="2"/>
        <v>1580.1700587324092</v>
      </c>
      <c r="F30" s="9">
        <f t="shared" si="3"/>
        <v>246.4065457681554</v>
      </c>
      <c r="G30" s="9">
        <f t="shared" si="4"/>
        <v>1333.7635129642538</v>
      </c>
      <c r="H30" s="9">
        <f t="shared" si="5"/>
        <v>245986.85738609408</v>
      </c>
    </row>
    <row r="31" x14ac:dyDescent="0.25">
      <c r="B31" s="13">
        <f t="shared" si="0"/>
        <v>18</v>
      </c>
      <c r="C31" s="14">
        <f t="shared" si="1"/>
        <v>46905</v>
      </c>
      <c r="D31" s="9">
        <f t="shared" si="6"/>
        <v>245986.85738609408</v>
      </c>
      <c r="E31" s="9">
        <f t="shared" si="2"/>
        <v>1580.1700587324092</v>
      </c>
      <c r="F31" s="9">
        <f t="shared" si="3"/>
        <v>247.74124789106622</v>
      </c>
      <c r="G31" s="9">
        <f t="shared" si="4"/>
        <v>1332.428810841343</v>
      </c>
      <c r="H31" s="9">
        <f t="shared" si="5"/>
        <v>245739.116138203</v>
      </c>
    </row>
    <row r="32" x14ac:dyDescent="0.25">
      <c r="B32" s="13">
        <f t="shared" si="0"/>
        <v>19</v>
      </c>
      <c r="C32" s="14">
        <f t="shared" si="1"/>
        <v>46935</v>
      </c>
      <c r="D32" s="9">
        <f t="shared" si="6"/>
        <v>245739.116138203</v>
      </c>
      <c r="E32" s="9">
        <f t="shared" si="2"/>
        <v>1580.1700587324092</v>
      </c>
      <c r="F32" s="9">
        <f t="shared" si="3"/>
        <v>249.08317965047627</v>
      </c>
      <c r="G32" s="9">
        <f t="shared" si="4"/>
        <v>1331.086879081933</v>
      </c>
      <c r="H32" s="9">
        <f t="shared" si="5"/>
        <v>245490.03295855253</v>
      </c>
    </row>
    <row r="33" x14ac:dyDescent="0.25">
      <c r="B33" s="13">
        <f t="shared" si="0"/>
        <v>20</v>
      </c>
      <c r="C33" s="14">
        <f t="shared" si="1"/>
        <v>46966</v>
      </c>
      <c r="D33" s="9">
        <f t="shared" si="6"/>
        <v>245490.03295855253</v>
      </c>
      <c r="E33" s="9">
        <f t="shared" si="2"/>
        <v>1580.1700587324092</v>
      </c>
      <c r="F33" s="9">
        <f t="shared" si="3"/>
        <v>250.43238020691615</v>
      </c>
      <c r="G33" s="9">
        <f t="shared" si="4"/>
        <v>1329.737678525493</v>
      </c>
      <c r="H33" s="9">
        <f t="shared" si="5"/>
        <v>245239.60057834562</v>
      </c>
    </row>
    <row r="34" x14ac:dyDescent="0.25">
      <c r="B34" s="13">
        <f t="shared" si="0"/>
        <v>21</v>
      </c>
      <c r="C34" s="14">
        <f t="shared" si="1"/>
        <v>46997</v>
      </c>
      <c r="D34" s="9">
        <f t="shared" si="6"/>
        <v>245239.60057834562</v>
      </c>
      <c r="E34" s="9">
        <f t="shared" si="2"/>
        <v>1580.1700587324092</v>
      </c>
      <c r="F34" s="9">
        <f t="shared" si="3"/>
        <v>251.78888893303701</v>
      </c>
      <c r="G34" s="9">
        <f t="shared" si="4"/>
        <v>1328.3811697993722</v>
      </c>
      <c r="H34" s="9">
        <f t="shared" si="5"/>
        <v>244987.81168941257</v>
      </c>
    </row>
    <row r="35" x14ac:dyDescent="0.25">
      <c r="B35" s="13">
        <f t="shared" si="0"/>
        <v>22</v>
      </c>
      <c r="C35" s="14">
        <f t="shared" si="1"/>
        <v>47027</v>
      </c>
      <c r="D35" s="9">
        <f t="shared" si="6"/>
        <v>244987.81168941257</v>
      </c>
      <c r="E35" s="9">
        <f t="shared" si="2"/>
        <v>1580.1700587324092</v>
      </c>
      <c r="F35" s="9">
        <f t="shared" si="3"/>
        <v>253.15274541475765</v>
      </c>
      <c r="G35" s="9">
        <f t="shared" si="4"/>
        <v>1327.0173133176515</v>
      </c>
      <c r="H35" s="9">
        <f t="shared" si="5"/>
        <v>244734.6589439978</v>
      </c>
    </row>
    <row r="36" x14ac:dyDescent="0.25">
      <c r="B36" s="13">
        <f t="shared" si="0"/>
        <v>23</v>
      </c>
      <c r="C36" s="14">
        <f t="shared" si="1"/>
        <v>47058</v>
      </c>
      <c r="D36" s="9">
        <f t="shared" si="6"/>
        <v>244734.6589439978</v>
      </c>
      <c r="E36" s="9">
        <f t="shared" si="2"/>
        <v>1580.1700587324092</v>
      </c>
      <c r="F36" s="9">
        <f t="shared" si="3"/>
        <v>254.52398945242112</v>
      </c>
      <c r="G36" s="9">
        <f t="shared" si="4"/>
        <v>1325.646069279988</v>
      </c>
      <c r="H36" s="9">
        <f t="shared" si="5"/>
        <v>244480.13495454538</v>
      </c>
    </row>
    <row r="37" x14ac:dyDescent="0.25">
      <c r="B37" s="13">
        <f t="shared" si="0"/>
        <v>24</v>
      </c>
      <c r="C37" s="14">
        <f t="shared" si="1"/>
        <v>47088</v>
      </c>
      <c r="D37" s="9">
        <f t="shared" si="6"/>
        <v>244480.13495454538</v>
      </c>
      <c r="E37" s="9">
        <f t="shared" si="2"/>
        <v>1580.1700587324092</v>
      </c>
      <c r="F37" s="9">
        <f t="shared" si="3"/>
        <v>255.90266106195486</v>
      </c>
      <c r="G37" s="9">
        <f t="shared" si="4"/>
        <v>1324.2673976704543</v>
      </c>
      <c r="H37" s="9">
        <f t="shared" si="5"/>
        <v>244224.23229348342</v>
      </c>
    </row>
    <row r="38" x14ac:dyDescent="0.25">
      <c r="B38" s="13">
        <f t="shared" si="0"/>
        <v>25</v>
      </c>
      <c r="C38" s="14">
        <f t="shared" si="1"/>
        <v>47119</v>
      </c>
      <c r="D38" s="9">
        <f t="shared" si="6"/>
        <v>244224.23229348342</v>
      </c>
      <c r="E38" s="9">
        <f t="shared" si="2"/>
        <v>1580.1700587324092</v>
      </c>
      <c r="F38" s="9">
        <f t="shared" si="3"/>
        <v>257.2888004760407</v>
      </c>
      <c r="G38" s="9">
        <f t="shared" si="4"/>
        <v>1322.8812582563685</v>
      </c>
      <c r="H38" s="9">
        <f t="shared" si="5"/>
        <v>243966.9434930074</v>
      </c>
    </row>
    <row r="39" x14ac:dyDescent="0.25">
      <c r="B39" s="13">
        <f t="shared" si="0"/>
        <v>26</v>
      </c>
      <c r="C39" s="14">
        <f t="shared" si="1"/>
        <v>47150</v>
      </c>
      <c r="D39" s="9">
        <f t="shared" si="6"/>
        <v>243966.9434930074</v>
      </c>
      <c r="E39" s="9">
        <f t="shared" si="2"/>
        <v>1580.1700587324092</v>
      </c>
      <c r="F39" s="9">
        <f t="shared" si="3"/>
        <v>258.6824481452859</v>
      </c>
      <c r="G39" s="9">
        <f t="shared" si="4"/>
        <v>1321.4876105871233</v>
      </c>
      <c r="H39" s="9">
        <f t="shared" si="5"/>
        <v>243708.2610448621</v>
      </c>
    </row>
    <row r="40" x14ac:dyDescent="0.25">
      <c r="B40" s="13">
        <f t="shared" si="0"/>
        <v>27</v>
      </c>
      <c r="C40" s="14">
        <f t="shared" si="1"/>
        <v>47178</v>
      </c>
      <c r="D40" s="9">
        <f t="shared" si="6"/>
        <v>243708.2610448621</v>
      </c>
      <c r="E40" s="9">
        <f t="shared" si="2"/>
        <v>1580.1700587324092</v>
      </c>
      <c r="F40" s="9">
        <f t="shared" si="3"/>
        <v>260.08364473940605</v>
      </c>
      <c r="G40" s="9">
        <f t="shared" si="4"/>
        <v>1320.0864139930031</v>
      </c>
      <c r="H40" s="9">
        <f t="shared" si="5"/>
        <v>243448.1774001227</v>
      </c>
    </row>
    <row r="41" x14ac:dyDescent="0.25">
      <c r="B41" s="13">
        <f t="shared" si="0"/>
        <v>28</v>
      </c>
      <c r="C41" s="14">
        <f t="shared" si="1"/>
        <v>47209</v>
      </c>
      <c r="D41" s="9">
        <f t="shared" si="6"/>
        <v>243448.1774001227</v>
      </c>
      <c r="E41" s="9">
        <f t="shared" si="2"/>
        <v>1580.1700587324092</v>
      </c>
      <c r="F41" s="9">
        <f t="shared" si="3"/>
        <v>261.49243114841124</v>
      </c>
      <c r="G41" s="9">
        <f t="shared" si="4"/>
        <v>1318.677627583998</v>
      </c>
      <c r="H41" s="9">
        <f t="shared" si="5"/>
        <v>243186.68496897427</v>
      </c>
    </row>
    <row r="42" x14ac:dyDescent="0.25">
      <c r="B42" s="13">
        <f t="shared" si="0"/>
        <v>29</v>
      </c>
      <c r="C42" s="14">
        <f t="shared" si="1"/>
        <v>47239</v>
      </c>
      <c r="D42" s="9">
        <f t="shared" si="6"/>
        <v>243186.68496897427</v>
      </c>
      <c r="E42" s="9">
        <f t="shared" si="2"/>
        <v>1580.1700587324092</v>
      </c>
      <c r="F42" s="9">
        <f t="shared" si="3"/>
        <v>262.90884848379847</v>
      </c>
      <c r="G42" s="9">
        <f t="shared" si="4"/>
        <v>1317.2612102486107</v>
      </c>
      <c r="H42" s="9">
        <f t="shared" si="5"/>
        <v>242923.77612049048</v>
      </c>
    </row>
    <row r="43" x14ac:dyDescent="0.25">
      <c r="B43" s="13">
        <f t="shared" si="0"/>
        <v>30</v>
      </c>
      <c r="C43" s="14">
        <f t="shared" si="1"/>
        <v>47270</v>
      </c>
      <c r="D43" s="9">
        <f t="shared" si="6"/>
        <v>242923.77612049048</v>
      </c>
      <c r="E43" s="9">
        <f t="shared" si="2"/>
        <v>1580.1700587324092</v>
      </c>
      <c r="F43" s="9">
        <f t="shared" si="3"/>
        <v>264.33293807975224</v>
      </c>
      <c r="G43" s="9">
        <f t="shared" si="4"/>
        <v>1315.837120652657</v>
      </c>
      <c r="H43" s="9">
        <f t="shared" si="5"/>
        <v>242659.44318241073</v>
      </c>
    </row>
    <row r="44" x14ac:dyDescent="0.25">
      <c r="B44" s="13">
        <f t="shared" si="0"/>
        <v>31</v>
      </c>
      <c r="C44" s="14">
        <f t="shared" si="1"/>
        <v>47300</v>
      </c>
      <c r="D44" s="9">
        <f t="shared" si="6"/>
        <v>242659.44318241073</v>
      </c>
      <c r="E44" s="9">
        <f t="shared" si="2"/>
        <v>1580.1700587324092</v>
      </c>
      <c r="F44" s="9">
        <f t="shared" si="3"/>
        <v>265.76474149435103</v>
      </c>
      <c r="G44" s="9">
        <f t="shared" si="4"/>
        <v>1314.4053172380582</v>
      </c>
      <c r="H44" s="9">
        <f t="shared" si="5"/>
        <v>242393.67844091638</v>
      </c>
    </row>
    <row r="45" x14ac:dyDescent="0.25">
      <c r="B45" s="13">
        <f t="shared" si="0"/>
        <v>32</v>
      </c>
      <c r="C45" s="14">
        <f t="shared" si="1"/>
        <v>47331</v>
      </c>
      <c r="D45" s="9">
        <f t="shared" si="6"/>
        <v>242393.67844091638</v>
      </c>
      <c r="E45" s="9">
        <f t="shared" si="2"/>
        <v>1580.1700587324092</v>
      </c>
      <c r="F45" s="9">
        <f t="shared" si="3"/>
        <v>267.2043005107787</v>
      </c>
      <c r="G45" s="9">
        <f t="shared" si="4"/>
        <v>1312.9657582216305</v>
      </c>
      <c r="H45" s="9">
        <f t="shared" si="5"/>
        <v>242126.4741404056</v>
      </c>
    </row>
    <row r="46" x14ac:dyDescent="0.25">
      <c r="B46" s="13">
        <f t="shared" si="0"/>
        <v>33</v>
      </c>
      <c r="C46" s="14">
        <f t="shared" si="1"/>
        <v>47362</v>
      </c>
      <c r="D46" s="9">
        <f t="shared" si="6"/>
        <v>242126.4741404056</v>
      </c>
      <c r="E46" s="9">
        <f t="shared" si="2"/>
        <v>1580.1700587324092</v>
      </c>
      <c r="F46" s="9">
        <f t="shared" si="3"/>
        <v>268.6516571385455</v>
      </c>
      <c r="G46" s="9">
        <f t="shared" si="4"/>
        <v>1311.5184015938637</v>
      </c>
      <c r="H46" s="9">
        <f t="shared" si="5"/>
        <v>241857.82248326705</v>
      </c>
    </row>
    <row r="47" x14ac:dyDescent="0.25">
      <c r="B47" s="13">
        <f t="shared" si="0"/>
        <v>34</v>
      </c>
      <c r="C47" s="14">
        <f t="shared" si="1"/>
        <v>47392</v>
      </c>
      <c r="D47" s="9">
        <f t="shared" si="6"/>
        <v>241857.82248326705</v>
      </c>
      <c r="E47" s="9">
        <f t="shared" si="2"/>
        <v>1580.1700587324092</v>
      </c>
      <c r="F47" s="9">
        <f t="shared" si="3"/>
        <v>270.1068536147127</v>
      </c>
      <c r="G47" s="9">
        <f t="shared" si="4"/>
        <v>1310.0632051176965</v>
      </c>
      <c r="H47" s="9">
        <f t="shared" si="5"/>
        <v>241587.71562965235</v>
      </c>
    </row>
    <row r="48" x14ac:dyDescent="0.25">
      <c r="B48" s="13">
        <f t="shared" si="0"/>
        <v>35</v>
      </c>
      <c r="C48" s="14">
        <f t="shared" si="1"/>
        <v>47423</v>
      </c>
      <c r="D48" s="9">
        <f t="shared" si="6"/>
        <v>241587.71562965235</v>
      </c>
      <c r="E48" s="9">
        <f t="shared" si="2"/>
        <v>1580.1700587324092</v>
      </c>
      <c r="F48" s="9">
        <f t="shared" si="3"/>
        <v>271.56993240512566</v>
      </c>
      <c r="G48" s="9">
        <f t="shared" si="4"/>
        <v>1308.6001263272835</v>
      </c>
      <c r="H48" s="9">
        <f t="shared" si="5"/>
        <v>241316.1456972472</v>
      </c>
    </row>
    <row r="49" x14ac:dyDescent="0.25">
      <c r="B49" s="13">
        <f t="shared" si="0"/>
        <v>36</v>
      </c>
      <c r="C49" s="14">
        <f t="shared" si="1"/>
        <v>47453</v>
      </c>
      <c r="D49" s="9">
        <f t="shared" si="6"/>
        <v>241316.1456972472</v>
      </c>
      <c r="E49" s="9">
        <f t="shared" si="2"/>
        <v>1580.1700587324092</v>
      </c>
      <c r="F49" s="9">
        <f t="shared" si="3"/>
        <v>273.04093620565345</v>
      </c>
      <c r="G49" s="9">
        <f t="shared" si="4"/>
        <v>1307.1291225267557</v>
      </c>
      <c r="H49" s="9">
        <f t="shared" si="5"/>
        <v>241043.10476104156</v>
      </c>
    </row>
    <row r="50" x14ac:dyDescent="0.25">
      <c r="B50" s="13">
        <f t="shared" si="0"/>
        <v>37</v>
      </c>
      <c r="C50" s="14">
        <f t="shared" si="1"/>
        <v>47484</v>
      </c>
      <c r="D50" s="9">
        <f t="shared" si="6"/>
        <v>241043.10476104156</v>
      </c>
      <c r="E50" s="9">
        <f t="shared" si="2"/>
        <v>1580.1700587324092</v>
      </c>
      <c r="F50" s="9">
        <f t="shared" si="3"/>
        <v>274.5199079434342</v>
      </c>
      <c r="G50" s="9">
        <f t="shared" si="4"/>
        <v>1305.650150788975</v>
      </c>
      <c r="H50" s="9">
        <f t="shared" si="5"/>
        <v>240768.58485309812</v>
      </c>
    </row>
    <row r="51" x14ac:dyDescent="0.25">
      <c r="B51" s="13">
        <f t="shared" si="0"/>
        <v>38</v>
      </c>
      <c r="C51" s="14">
        <f t="shared" si="1"/>
        <v>47515</v>
      </c>
      <c r="D51" s="9">
        <f t="shared" si="6"/>
        <v>240768.58485309812</v>
      </c>
      <c r="E51" s="9">
        <f t="shared" si="2"/>
        <v>1580.1700587324092</v>
      </c>
      <c r="F51" s="9">
        <f t="shared" si="3"/>
        <v>276.0068907781276</v>
      </c>
      <c r="G51" s="9">
        <f t="shared" si="4"/>
        <v>1304.1631679542816</v>
      </c>
      <c r="H51" s="9">
        <f t="shared" si="5"/>
        <v>240492.57796231998</v>
      </c>
    </row>
    <row r="52" x14ac:dyDescent="0.25">
      <c r="B52" s="13">
        <f t="shared" si="0"/>
        <v>39</v>
      </c>
      <c r="C52" s="14">
        <f t="shared" si="1"/>
        <v>47543</v>
      </c>
      <c r="D52" s="9">
        <f t="shared" si="6"/>
        <v>240492.57796231998</v>
      </c>
      <c r="E52" s="9">
        <f t="shared" si="2"/>
        <v>1580.1700587324092</v>
      </c>
      <c r="F52" s="9">
        <f t="shared" si="3"/>
        <v>277.50192810317594</v>
      </c>
      <c r="G52" s="9">
        <f t="shared" si="4"/>
        <v>1302.6681306292332</v>
      </c>
      <c r="H52" s="9">
        <f t="shared" si="5"/>
        <v>240215.0760342168</v>
      </c>
    </row>
    <row r="53" x14ac:dyDescent="0.25">
      <c r="B53" s="13">
        <f t="shared" si="0"/>
        <v>40</v>
      </c>
      <c r="C53" s="14">
        <f t="shared" si="1"/>
        <v>47574</v>
      </c>
      <c r="D53" s="9">
        <f t="shared" si="6"/>
        <v>240215.0760342168</v>
      </c>
      <c r="E53" s="9">
        <f t="shared" si="2"/>
        <v>1580.1700587324092</v>
      </c>
      <c r="F53" s="9">
        <f t="shared" si="3"/>
        <v>279.0050635470682</v>
      </c>
      <c r="G53" s="9">
        <f t="shared" si="4"/>
        <v>1301.164995185341</v>
      </c>
      <c r="H53" s="9">
        <f t="shared" si="5"/>
        <v>239936.07097066974</v>
      </c>
    </row>
    <row r="54" x14ac:dyDescent="0.25">
      <c r="B54" s="13">
        <f t="shared" si="0"/>
        <v>41</v>
      </c>
      <c r="C54" s="14">
        <f t="shared" si="1"/>
        <v>47604</v>
      </c>
      <c r="D54" s="9">
        <f t="shared" si="6"/>
        <v>239936.07097066974</v>
      </c>
      <c r="E54" s="9">
        <f t="shared" si="2"/>
        <v>1580.1700587324092</v>
      </c>
      <c r="F54" s="9">
        <f t="shared" si="3"/>
        <v>280.51634097461465</v>
      </c>
      <c r="G54" s="9">
        <f t="shared" si="4"/>
        <v>1299.6537177577945</v>
      </c>
      <c r="H54" s="9">
        <f t="shared" si="5"/>
        <v>239655.55462969514</v>
      </c>
    </row>
    <row r="55" x14ac:dyDescent="0.25">
      <c r="B55" s="13">
        <f t="shared" si="0"/>
        <v>42</v>
      </c>
      <c r="C55" s="14">
        <f t="shared" si="1"/>
        <v>47635</v>
      </c>
      <c r="D55" s="9">
        <f t="shared" si="6"/>
        <v>239655.55462969514</v>
      </c>
      <c r="E55" s="9">
        <f t="shared" si="2"/>
        <v>1580.1700587324092</v>
      </c>
      <c r="F55" s="9">
        <f t="shared" si="3"/>
        <v>282.0358044882271</v>
      </c>
      <c r="G55" s="9">
        <f t="shared" si="4"/>
        <v>1298.134254244182</v>
      </c>
      <c r="H55" s="9">
        <f t="shared" si="5"/>
        <v>239373.5188252069</v>
      </c>
    </row>
    <row r="56" x14ac:dyDescent="0.25">
      <c r="B56" s="13">
        <f t="shared" si="0"/>
        <v>43</v>
      </c>
      <c r="C56" s="14">
        <f t="shared" si="1"/>
        <v>47665</v>
      </c>
      <c r="D56" s="9">
        <f t="shared" si="6"/>
        <v>239373.5188252069</v>
      </c>
      <c r="E56" s="9">
        <f t="shared" si="2"/>
        <v>1580.1700587324092</v>
      </c>
      <c r="F56" s="9">
        <f t="shared" si="3"/>
        <v>283.5634984292051</v>
      </c>
      <c r="G56" s="9">
        <f t="shared" si="4"/>
        <v>1296.606560303204</v>
      </c>
      <c r="H56" s="9">
        <f t="shared" si="5"/>
        <v>239089.9553267777</v>
      </c>
    </row>
    <row r="57" x14ac:dyDescent="0.25">
      <c r="B57" s="13">
        <f t="shared" si="0"/>
        <v>44</v>
      </c>
      <c r="C57" s="14">
        <f t="shared" si="1"/>
        <v>47696</v>
      </c>
      <c r="D57" s="9">
        <f t="shared" si="6"/>
        <v>239089.9553267777</v>
      </c>
      <c r="E57" s="9">
        <f t="shared" si="2"/>
        <v>1580.1700587324092</v>
      </c>
      <c r="F57" s="9">
        <f t="shared" si="3"/>
        <v>285.0994673790299</v>
      </c>
      <c r="G57" s="9">
        <f t="shared" si="4"/>
        <v>1295.0705913533793</v>
      </c>
      <c r="H57" s="9">
        <f t="shared" si="5"/>
        <v>238804.85585939867</v>
      </c>
    </row>
    <row r="58" x14ac:dyDescent="0.25">
      <c r="B58" s="13">
        <f t="shared" si="0"/>
        <v>45</v>
      </c>
      <c r="C58" s="14">
        <f t="shared" si="1"/>
        <v>47727</v>
      </c>
      <c r="D58" s="9">
        <f t="shared" si="6"/>
        <v>238804.85585939867</v>
      </c>
      <c r="E58" s="9">
        <f t="shared" si="2"/>
        <v>1580.1700587324092</v>
      </c>
      <c r="F58" s="9">
        <f t="shared" si="3"/>
        <v>286.64375616066627</v>
      </c>
      <c r="G58" s="9">
        <f t="shared" si="4"/>
        <v>1293.526302571743</v>
      </c>
      <c r="H58" s="9">
        <f t="shared" si="5"/>
        <v>238518.212103238</v>
      </c>
    </row>
    <row r="59" x14ac:dyDescent="0.25">
      <c r="B59" s="13">
        <f t="shared" si="0"/>
        <v>46</v>
      </c>
      <c r="C59" s="14">
        <f t="shared" si="1"/>
        <v>47757</v>
      </c>
      <c r="D59" s="9">
        <f t="shared" si="6"/>
        <v>238518.212103238</v>
      </c>
      <c r="E59" s="9">
        <f t="shared" si="2"/>
        <v>1580.1700587324092</v>
      </c>
      <c r="F59" s="9">
        <f t="shared" si="3"/>
        <v>288.19640983986983</v>
      </c>
      <c r="G59" s="9">
        <f t="shared" si="4"/>
        <v>1291.9736488925394</v>
      </c>
      <c r="H59" s="9">
        <f t="shared" si="5"/>
        <v>238230.01569339813</v>
      </c>
    </row>
    <row r="60" x14ac:dyDescent="0.25">
      <c r="B60" s="13">
        <f t="shared" si="0"/>
        <v>47</v>
      </c>
      <c r="C60" s="14">
        <f t="shared" si="1"/>
        <v>47788</v>
      </c>
      <c r="D60" s="9">
        <f t="shared" si="6"/>
        <v>238230.01569339813</v>
      </c>
      <c r="E60" s="9">
        <f t="shared" si="2"/>
        <v>1580.1700587324092</v>
      </c>
      <c r="F60" s="9">
        <f t="shared" si="3"/>
        <v>289.75747372650267</v>
      </c>
      <c r="G60" s="9">
        <f t="shared" si="4"/>
        <v>1290.4125850059065</v>
      </c>
      <c r="H60" s="9">
        <f t="shared" si="5"/>
        <v>237940.25821967164</v>
      </c>
    </row>
    <row r="61" x14ac:dyDescent="0.25">
      <c r="B61" s="13">
        <f t="shared" si="0"/>
        <v>48</v>
      </c>
      <c r="C61" s="14">
        <f t="shared" si="1"/>
        <v>47818</v>
      </c>
      <c r="D61" s="9">
        <f t="shared" si="6"/>
        <v>237940.25821967164</v>
      </c>
      <c r="E61" s="9">
        <f t="shared" si="2"/>
        <v>1580.1700587324092</v>
      </c>
      <c r="F61" s="9">
        <f t="shared" si="3"/>
        <v>291.3269933758545</v>
      </c>
      <c r="G61" s="9">
        <f t="shared" si="4"/>
        <v>1288.8430653565547</v>
      </c>
      <c r="H61" s="9">
        <f t="shared" si="5"/>
        <v>237648.9312262958</v>
      </c>
    </row>
    <row r="62" x14ac:dyDescent="0.25">
      <c r="B62" s="13">
        <f t="shared" si="0"/>
        <v>49</v>
      </c>
      <c r="C62" s="14">
        <f t="shared" si="1"/>
        <v>47849</v>
      </c>
      <c r="D62" s="9">
        <f t="shared" si="6"/>
        <v>237648.9312262958</v>
      </c>
      <c r="E62" s="9">
        <f t="shared" si="2"/>
        <v>1580.1700587324092</v>
      </c>
      <c r="F62" s="9">
        <f t="shared" si="3"/>
        <v>292.9050145899737</v>
      </c>
      <c r="G62" s="9">
        <f t="shared" si="4"/>
        <v>1287.2650441424355</v>
      </c>
      <c r="H62" s="9">
        <f t="shared" si="5"/>
        <v>237356.02621170582</v>
      </c>
    </row>
    <row r="63" x14ac:dyDescent="0.25">
      <c r="B63" s="13">
        <f t="shared" si="0"/>
        <v>50</v>
      </c>
      <c r="C63" s="14">
        <f t="shared" si="1"/>
        <v>47880</v>
      </c>
      <c r="D63" s="9">
        <f t="shared" si="6"/>
        <v>237356.02621170582</v>
      </c>
      <c r="E63" s="9">
        <f t="shared" si="2"/>
        <v>1580.1700587324092</v>
      </c>
      <c r="F63" s="9">
        <f t="shared" si="3"/>
        <v>294.4915834190026</v>
      </c>
      <c r="G63" s="9">
        <f t="shared" si="4"/>
        <v>1285.6784753134066</v>
      </c>
      <c r="H63" s="9">
        <f t="shared" si="5"/>
        <v>237061.5346282868</v>
      </c>
    </row>
    <row r="64" x14ac:dyDescent="0.25">
      <c r="B64" s="13">
        <f t="shared" si="0"/>
        <v>51</v>
      </c>
      <c r="C64" s="14">
        <f t="shared" si="1"/>
        <v>47908</v>
      </c>
      <c r="D64" s="9">
        <f t="shared" si="6"/>
        <v>237061.5346282868</v>
      </c>
      <c r="E64" s="9">
        <f t="shared" si="2"/>
        <v>1580.1700587324092</v>
      </c>
      <c r="F64" s="9">
        <f t="shared" si="3"/>
        <v>296.0867461625221</v>
      </c>
      <c r="G64" s="9">
        <f t="shared" si="4"/>
        <v>1284.083312569887</v>
      </c>
      <c r="H64" s="9">
        <f t="shared" si="5"/>
        <v>236765.44788212428</v>
      </c>
    </row>
    <row r="65" x14ac:dyDescent="0.25">
      <c r="B65" s="13">
        <f t="shared" si="0"/>
        <v>52</v>
      </c>
      <c r="C65" s="14">
        <f t="shared" si="1"/>
        <v>47939</v>
      </c>
      <c r="D65" s="9">
        <f t="shared" si="6"/>
        <v>236765.44788212428</v>
      </c>
      <c r="E65" s="9">
        <f t="shared" si="2"/>
        <v>1580.1700587324092</v>
      </c>
      <c r="F65" s="9">
        <f t="shared" si="3"/>
        <v>297.6905493709028</v>
      </c>
      <c r="G65" s="9">
        <f t="shared" si="4"/>
        <v>1282.4795093615064</v>
      </c>
      <c r="H65" s="9">
        <f t="shared" si="5"/>
        <v>236467.7573327534</v>
      </c>
    </row>
    <row r="66" x14ac:dyDescent="0.25">
      <c r="B66" s="13">
        <f t="shared" si="0"/>
        <v>53</v>
      </c>
      <c r="C66" s="14">
        <f t="shared" si="1"/>
        <v>47969</v>
      </c>
      <c r="D66" s="9">
        <f t="shared" si="6"/>
        <v>236467.7573327534</v>
      </c>
      <c r="E66" s="9">
        <f t="shared" si="2"/>
        <v>1580.1700587324092</v>
      </c>
      <c r="F66" s="9">
        <f t="shared" si="3"/>
        <v>299.3030398466617</v>
      </c>
      <c r="G66" s="9">
        <f t="shared" si="4"/>
        <v>1280.8670188857475</v>
      </c>
      <c r="H66" s="9">
        <f t="shared" si="5"/>
        <v>236168.45429290674</v>
      </c>
    </row>
    <row r="67" x14ac:dyDescent="0.25">
      <c r="B67" s="13">
        <f t="shared" si="0"/>
        <v>54</v>
      </c>
      <c r="C67" s="14">
        <f t="shared" si="1"/>
        <v>48000</v>
      </c>
      <c r="D67" s="9">
        <f t="shared" si="6"/>
        <v>236168.45429290674</v>
      </c>
      <c r="E67" s="9">
        <f t="shared" si="2"/>
        <v>1580.1700587324092</v>
      </c>
      <c r="F67" s="9">
        <f t="shared" si="3"/>
        <v>300.92426464583104</v>
      </c>
      <c r="G67" s="9">
        <f t="shared" si="4"/>
        <v>1279.2457940865781</v>
      </c>
      <c r="H67" s="9">
        <f t="shared" si="5"/>
        <v>235867.5300282609</v>
      </c>
    </row>
    <row r="68" x14ac:dyDescent="0.25">
      <c r="B68" s="13">
        <f t="shared" si="0"/>
        <v>55</v>
      </c>
      <c r="C68" s="14">
        <f t="shared" si="1"/>
        <v>48030</v>
      </c>
      <c r="D68" s="9">
        <f t="shared" si="6"/>
        <v>235867.5300282609</v>
      </c>
      <c r="E68" s="9">
        <f t="shared" si="2"/>
        <v>1580.1700587324092</v>
      </c>
      <c r="F68" s="9">
        <f t="shared" si="3"/>
        <v>302.5542710793293</v>
      </c>
      <c r="G68" s="9">
        <f t="shared" si="4"/>
        <v>1277.61578765308</v>
      </c>
      <c r="H68" s="9">
        <f t="shared" si="5"/>
        <v>235564.97575718156</v>
      </c>
    </row>
    <row r="69" x14ac:dyDescent="0.25">
      <c r="B69" s="13">
        <f t="shared" si="0"/>
        <v>56</v>
      </c>
      <c r="C69" s="14">
        <f t="shared" si="1"/>
        <v>48061</v>
      </c>
      <c r="D69" s="9">
        <f t="shared" si="6"/>
        <v>235564.97575718156</v>
      </c>
      <c r="E69" s="9">
        <f t="shared" si="2"/>
        <v>1580.1700587324092</v>
      </c>
      <c r="F69" s="9">
        <f t="shared" si="3"/>
        <v>304.1931067143423</v>
      </c>
      <c r="G69" s="9">
        <f t="shared" si="4"/>
        <v>1275.9769520180669</v>
      </c>
      <c r="H69" s="9">
        <f t="shared" si="5"/>
        <v>235260.7826504672</v>
      </c>
    </row>
    <row r="70" x14ac:dyDescent="0.25">
      <c r="B70" s="13">
        <f t="shared" si="0"/>
        <v>57</v>
      </c>
      <c r="C70" s="14">
        <f t="shared" si="1"/>
        <v>48092</v>
      </c>
      <c r="D70" s="9">
        <f t="shared" si="6"/>
        <v>235260.7826504672</v>
      </c>
      <c r="E70" s="9">
        <f t="shared" si="2"/>
        <v>1580.1700587324092</v>
      </c>
      <c r="F70" s="9">
        <f t="shared" si="3"/>
        <v>305.8408193757118</v>
      </c>
      <c r="G70" s="9">
        <f t="shared" si="4"/>
        <v>1274.3292393566974</v>
      </c>
      <c r="H70" s="9">
        <f t="shared" si="5"/>
        <v>234954.9418310915</v>
      </c>
    </row>
    <row r="71" x14ac:dyDescent="0.25">
      <c r="B71" s="13">
        <f t="shared" si="0"/>
        <v>58</v>
      </c>
      <c r="C71" s="14">
        <f t="shared" si="1"/>
        <v>48122</v>
      </c>
      <c r="D71" s="9">
        <f t="shared" si="6"/>
        <v>234954.9418310915</v>
      </c>
      <c r="E71" s="9">
        <f t="shared" si="2"/>
        <v>1580.1700587324092</v>
      </c>
      <c r="F71" s="9">
        <f t="shared" si="3"/>
        <v>307.4974571473301</v>
      </c>
      <c r="G71" s="9">
        <f t="shared" si="4"/>
        <v>1272.672601585079</v>
      </c>
      <c r="H71" s="9">
        <f t="shared" si="5"/>
        <v>234647.44437394416</v>
      </c>
    </row>
    <row r="72" x14ac:dyDescent="0.25">
      <c r="B72" s="13">
        <f t="shared" si="0"/>
        <v>59</v>
      </c>
      <c r="C72" s="14">
        <f t="shared" si="1"/>
        <v>48153</v>
      </c>
      <c r="D72" s="9">
        <f t="shared" si="6"/>
        <v>234647.44437394416</v>
      </c>
      <c r="E72" s="9">
        <f t="shared" si="2"/>
        <v>1580.1700587324092</v>
      </c>
      <c r="F72" s="9">
        <f t="shared" si="3"/>
        <v>309.163068373545</v>
      </c>
      <c r="G72" s="9">
        <f t="shared" si="4"/>
        <v>1271.0069903588642</v>
      </c>
      <c r="H72" s="9">
        <f t="shared" si="5"/>
        <v>234338.28130557062</v>
      </c>
    </row>
    <row r="73" x14ac:dyDescent="0.25">
      <c r="B73" s="13">
        <f t="shared" si="0"/>
        <v>60</v>
      </c>
      <c r="C73" s="14">
        <f t="shared" si="1"/>
        <v>48183</v>
      </c>
      <c r="D73" s="9">
        <f t="shared" si="6"/>
        <v>234338.28130557062</v>
      </c>
      <c r="E73" s="9">
        <f t="shared" si="2"/>
        <v>1580.1700587324092</v>
      </c>
      <c r="F73" s="9">
        <f t="shared" si="3"/>
        <v>310.8377016605682</v>
      </c>
      <c r="G73" s="9">
        <f t="shared" si="4"/>
        <v>1269.332357071841</v>
      </c>
      <c r="H73" s="9">
        <f t="shared" si="5"/>
        <v>234027.44360391004</v>
      </c>
    </row>
    <row r="74" x14ac:dyDescent="0.25">
      <c r="B74" s="13">
        <f t="shared" si="0"/>
        <v>61</v>
      </c>
      <c r="C74" s="14">
        <f t="shared" si="1"/>
        <v>48214</v>
      </c>
      <c r="D74" s="9">
        <f t="shared" si="6"/>
        <v>234027.44360391004</v>
      </c>
      <c r="E74" s="9">
        <f t="shared" si="2"/>
        <v>1580.1700587324092</v>
      </c>
      <c r="F74" s="9">
        <f t="shared" si="3"/>
        <v>312.52140587789654</v>
      </c>
      <c r="G74" s="9">
        <f t="shared" si="4"/>
        <v>1267.6486528545126</v>
      </c>
      <c r="H74" s="9">
        <f t="shared" si="5"/>
        <v>233714.92219803215</v>
      </c>
    </row>
    <row r="75" x14ac:dyDescent="0.25">
      <c r="B75" s="13">
        <f t="shared" si="0"/>
        <v>62</v>
      </c>
      <c r="C75" s="14">
        <f t="shared" si="1"/>
        <v>48245</v>
      </c>
      <c r="D75" s="9">
        <f t="shared" si="6"/>
        <v>233714.92219803215</v>
      </c>
      <c r="E75" s="9">
        <f t="shared" si="2"/>
        <v>1580.1700587324092</v>
      </c>
      <c r="F75" s="9">
        <f t="shared" si="3"/>
        <v>314.21423015973505</v>
      </c>
      <c r="G75" s="9">
        <f t="shared" si="4"/>
        <v>1265.9558285726741</v>
      </c>
      <c r="H75" s="9">
        <f t="shared" si="5"/>
        <v>233400.7079678724</v>
      </c>
    </row>
    <row r="76" x14ac:dyDescent="0.25">
      <c r="B76" s="13">
        <f t="shared" si="0"/>
        <v>63</v>
      </c>
      <c r="C76" s="14">
        <f t="shared" si="1"/>
        <v>48274</v>
      </c>
      <c r="D76" s="9">
        <f t="shared" si="6"/>
        <v>233400.7079678724</v>
      </c>
      <c r="E76" s="9">
        <f t="shared" si="2"/>
        <v>1580.1700587324092</v>
      </c>
      <c r="F76" s="9">
        <f t="shared" si="3"/>
        <v>315.9162239064335</v>
      </c>
      <c r="G76" s="9">
        <f t="shared" si="4"/>
        <v>1264.2538348259757</v>
      </c>
      <c r="H76" s="9">
        <f t="shared" si="5"/>
        <v>233084.79174396596</v>
      </c>
    </row>
    <row r="77" x14ac:dyDescent="0.25">
      <c r="B77" s="13">
        <f t="shared" si="0"/>
        <v>64</v>
      </c>
      <c r="C77" s="14">
        <f t="shared" si="1"/>
        <v>48305</v>
      </c>
      <c r="D77" s="9">
        <f t="shared" si="6"/>
        <v>233084.79174396596</v>
      </c>
      <c r="E77" s="9">
        <f t="shared" si="2"/>
        <v>1580.1700587324092</v>
      </c>
      <c r="F77" s="9">
        <f t="shared" si="3"/>
        <v>317.6274367859269</v>
      </c>
      <c r="G77" s="9">
        <f t="shared" si="4"/>
        <v>1262.5426219464823</v>
      </c>
      <c r="H77" s="9">
        <f t="shared" si="5"/>
        <v>232767.16430718004</v>
      </c>
    </row>
    <row r="78" x14ac:dyDescent="0.25">
      <c r="B78" s="13">
        <f t="shared" si="0"/>
        <v>65</v>
      </c>
      <c r="C78" s="14">
        <f t="shared" si="1"/>
        <v>48335</v>
      </c>
      <c r="D78" s="9">
        <f t="shared" si="6"/>
        <v>232767.16430718004</v>
      </c>
      <c r="E78" s="9">
        <f t="shared" si="2"/>
        <v>1580.1700587324092</v>
      </c>
      <c r="F78" s="9">
        <f t="shared" si="3"/>
        <v>319.34791873518407</v>
      </c>
      <c r="G78" s="9">
        <f t="shared" si="4"/>
        <v>1260.8221399972251</v>
      </c>
      <c r="H78" s="9">
        <f t="shared" si="5"/>
        <v>232447.81638844486</v>
      </c>
    </row>
    <row r="79" x14ac:dyDescent="0.25">
      <c r="B79" s="13">
        <f t="shared" si="0"/>
        <v>66</v>
      </c>
      <c r="C79" s="14">
        <f t="shared" si="1"/>
        <v>48366</v>
      </c>
      <c r="D79" s="9">
        <f t="shared" si="6"/>
        <v>232447.81638844486</v>
      </c>
      <c r="E79" s="9">
        <f t="shared" si="2"/>
        <v>1580.1700587324092</v>
      </c>
      <c r="F79" s="9">
        <f t="shared" si="3"/>
        <v>321.07771996166616</v>
      </c>
      <c r="G79" s="9">
        <f t="shared" si="4"/>
        <v>1259.092338770743</v>
      </c>
      <c r="H79" s="9">
        <f t="shared" si="5"/>
        <v>232126.7386684832</v>
      </c>
    </row>
    <row r="80" x14ac:dyDescent="0.25">
      <c r="B80" s="13">
        <f t="shared" si="0"/>
        <v>67</v>
      </c>
      <c r="C80" s="14">
        <f t="shared" si="1"/>
        <v>48396</v>
      </c>
      <c r="D80" s="9">
        <f t="shared" si="6"/>
        <v>232126.7386684832</v>
      </c>
      <c r="E80" s="9">
        <f t="shared" si="2"/>
        <v>1580.1700587324092</v>
      </c>
      <c r="F80" s="9">
        <f t="shared" si="3"/>
        <v>322.8168909447918</v>
      </c>
      <c r="G80" s="9">
        <f t="shared" si="4"/>
        <v>1257.3531677876174</v>
      </c>
      <c r="H80" s="9">
        <f t="shared" si="5"/>
        <v>231803.9217775384</v>
      </c>
    </row>
    <row r="81" x14ac:dyDescent="0.25">
      <c r="B81" s="13">
        <f t="shared" si="0"/>
        <v>68</v>
      </c>
      <c r="C81" s="14">
        <f t="shared" si="1"/>
        <v>48427</v>
      </c>
      <c r="D81" s="9">
        <f t="shared" si="6"/>
        <v>231803.9217775384</v>
      </c>
      <c r="E81" s="9">
        <f t="shared" si="2"/>
        <v>1580.1700587324092</v>
      </c>
      <c r="F81" s="9">
        <f t="shared" si="3"/>
        <v>324.5654824374094</v>
      </c>
      <c r="G81" s="9">
        <f t="shared" si="4"/>
        <v>1255.6045762949998</v>
      </c>
      <c r="H81" s="9">
        <f t="shared" si="5"/>
        <v>231479.356295101</v>
      </c>
    </row>
    <row r="82" x14ac:dyDescent="0.25">
      <c r="B82" s="13">
        <f t="shared" si="0"/>
        <v>69</v>
      </c>
      <c r="C82" s="14">
        <f t="shared" si="1"/>
        <v>48458</v>
      </c>
      <c r="D82" s="9">
        <f t="shared" si="6"/>
        <v>231479.356295101</v>
      </c>
      <c r="E82" s="9">
        <f t="shared" si="2"/>
        <v>1580.1700587324092</v>
      </c>
      <c r="F82" s="9">
        <f t="shared" si="3"/>
        <v>326.3235454672788</v>
      </c>
      <c r="G82" s="9">
        <f t="shared" si="4"/>
        <v>1253.8465132651304</v>
      </c>
      <c r="H82" s="9">
        <f t="shared" si="5"/>
        <v>231153.0327496337</v>
      </c>
    </row>
    <row r="83" x14ac:dyDescent="0.25">
      <c r="B83" s="13">
        <f t="shared" si="0"/>
        <v>70</v>
      </c>
      <c r="C83" s="14">
        <f t="shared" si="1"/>
        <v>48488</v>
      </c>
      <c r="D83" s="9">
        <f t="shared" si="6"/>
        <v>231153.0327496337</v>
      </c>
      <c r="E83" s="9">
        <f t="shared" si="2"/>
        <v>1580.1700587324092</v>
      </c>
      <c r="F83" s="9">
        <f t="shared" si="3"/>
        <v>328.09113133856</v>
      </c>
      <c r="G83" s="9">
        <f t="shared" si="4"/>
        <v>1252.0789273938492</v>
      </c>
      <c r="H83" s="9">
        <f t="shared" si="5"/>
        <v>230824.94161829515</v>
      </c>
    </row>
    <row r="84" x14ac:dyDescent="0.25">
      <c r="B84" s="13">
        <f t="shared" si="0"/>
        <v>71</v>
      </c>
      <c r="C84" s="14">
        <f t="shared" si="1"/>
        <v>48519</v>
      </c>
      <c r="D84" s="9">
        <f t="shared" si="6"/>
        <v>230824.94161829515</v>
      </c>
      <c r="E84" s="9">
        <f t="shared" si="2"/>
        <v>1580.1700587324092</v>
      </c>
      <c r="F84" s="9">
        <f t="shared" si="3"/>
        <v>329.8682916333105</v>
      </c>
      <c r="G84" s="9">
        <f t="shared" si="4"/>
        <v>1250.3017670990987</v>
      </c>
      <c r="H84" s="9">
        <f t="shared" si="5"/>
        <v>230495.07332666183</v>
      </c>
    </row>
    <row r="85" x14ac:dyDescent="0.25">
      <c r="B85" s="13">
        <f t="shared" si="0"/>
        <v>72</v>
      </c>
      <c r="C85" s="14">
        <f t="shared" si="1"/>
        <v>48549</v>
      </c>
      <c r="D85" s="9">
        <f t="shared" si="6"/>
        <v>230495.07332666183</v>
      </c>
      <c r="E85" s="9">
        <f t="shared" si="2"/>
        <v>1580.1700587324092</v>
      </c>
      <c r="F85" s="9">
        <f t="shared" si="3"/>
        <v>331.65507821299093</v>
      </c>
      <c r="G85" s="9">
        <f t="shared" si="4"/>
        <v>1248.5149805194183</v>
      </c>
      <c r="H85" s="9">
        <f t="shared" si="5"/>
        <v>230163.41824844884</v>
      </c>
    </row>
    <row r="86" x14ac:dyDescent="0.25">
      <c r="B86" s="13">
        <f t="shared" si="0"/>
        <v>73</v>
      </c>
      <c r="C86" s="14">
        <f t="shared" si="1"/>
        <v>48580</v>
      </c>
      <c r="D86" s="9">
        <f t="shared" si="6"/>
        <v>230163.41824844884</v>
      </c>
      <c r="E86" s="9">
        <f t="shared" si="2"/>
        <v>1580.1700587324092</v>
      </c>
      <c r="F86" s="9">
        <f t="shared" si="3"/>
        <v>333.4515432199778</v>
      </c>
      <c r="G86" s="9">
        <f t="shared" si="4"/>
        <v>1246.7185155124314</v>
      </c>
      <c r="H86" s="9">
        <f t="shared" si="5"/>
        <v>229829.96670522887</v>
      </c>
    </row>
    <row r="87" x14ac:dyDescent="0.25">
      <c r="B87" s="13">
        <f t="shared" si="0"/>
        <v>74</v>
      </c>
      <c r="C87" s="14">
        <f t="shared" si="1"/>
        <v>48611</v>
      </c>
      <c r="D87" s="9">
        <f t="shared" si="6"/>
        <v>229829.96670522887</v>
      </c>
      <c r="E87" s="9">
        <f t="shared" si="2"/>
        <v>1580.1700587324092</v>
      </c>
      <c r="F87" s="9">
        <f t="shared" si="3"/>
        <v>335.25773907908615</v>
      </c>
      <c r="G87" s="9">
        <f t="shared" si="4"/>
        <v>1244.912319653323</v>
      </c>
      <c r="H87" s="9">
        <f t="shared" si="5"/>
        <v>229494.70896614977</v>
      </c>
    </row>
    <row r="88" x14ac:dyDescent="0.25">
      <c r="B88" s="13">
        <f t="shared" si="0"/>
        <v>75</v>
      </c>
      <c r="C88" s="14">
        <f t="shared" si="1"/>
        <v>48639</v>
      </c>
      <c r="D88" s="9">
        <f t="shared" si="6"/>
        <v>229494.70896614977</v>
      </c>
      <c r="E88" s="9">
        <f t="shared" si="2"/>
        <v>1580.1700587324092</v>
      </c>
      <c r="F88" s="9">
        <f t="shared" si="3"/>
        <v>337.0737184990978</v>
      </c>
      <c r="G88" s="9">
        <f t="shared" si="4"/>
        <v>1243.0963402333114</v>
      </c>
      <c r="H88" s="9">
        <f t="shared" si="5"/>
        <v>229157.63524765067</v>
      </c>
    </row>
    <row r="89" x14ac:dyDescent="0.25">
      <c r="B89" s="13">
        <f t="shared" si="0"/>
        <v>76</v>
      </c>
      <c r="C89" s="14">
        <f t="shared" si="1"/>
        <v>48670</v>
      </c>
      <c r="D89" s="9">
        <f t="shared" si="6"/>
        <v>229157.63524765067</v>
      </c>
      <c r="E89" s="9">
        <f t="shared" si="2"/>
        <v>1580.1700587324092</v>
      </c>
      <c r="F89" s="9">
        <f t="shared" si="3"/>
        <v>338.8995344743014</v>
      </c>
      <c r="G89" s="9">
        <f t="shared" si="4"/>
        <v>1241.2705242581078</v>
      </c>
      <c r="H89" s="9">
        <f t="shared" si="5"/>
        <v>228818.73571317637</v>
      </c>
    </row>
    <row r="90" x14ac:dyDescent="0.25">
      <c r="B90" s="13">
        <f t="shared" si="0"/>
        <v>77</v>
      </c>
      <c r="C90" s="14">
        <f t="shared" si="1"/>
        <v>48700</v>
      </c>
      <c r="D90" s="9">
        <f t="shared" si="6"/>
        <v>228818.73571317637</v>
      </c>
      <c r="E90" s="9">
        <f t="shared" si="2"/>
        <v>1580.1700587324092</v>
      </c>
      <c r="F90" s="9">
        <f t="shared" si="3"/>
        <v>340.7352402860372</v>
      </c>
      <c r="G90" s="9">
        <f t="shared" si="4"/>
        <v>1239.434818446372</v>
      </c>
      <c r="H90" s="9">
        <f t="shared" si="5"/>
        <v>228478.00047289033</v>
      </c>
    </row>
    <row r="91" x14ac:dyDescent="0.25">
      <c r="B91" s="13">
        <f t="shared" si="0"/>
        <v>78</v>
      </c>
      <c r="C91" s="14">
        <f t="shared" si="1"/>
        <v>48731</v>
      </c>
      <c r="D91" s="9">
        <f t="shared" si="6"/>
        <v>228478.00047289033</v>
      </c>
      <c r="E91" s="9">
        <f t="shared" si="2"/>
        <v>1580.1700587324092</v>
      </c>
      <c r="F91" s="9">
        <f t="shared" si="3"/>
        <v>342.58088950425326</v>
      </c>
      <c r="G91" s="9">
        <f t="shared" si="4"/>
        <v>1237.589169228156</v>
      </c>
      <c r="H91" s="9">
        <f t="shared" si="5"/>
        <v>228135.41958338607</v>
      </c>
    </row>
    <row r="92" x14ac:dyDescent="0.25">
      <c r="B92" s="13">
        <f t="shared" si="0"/>
        <v>79</v>
      </c>
      <c r="C92" s="14">
        <f t="shared" si="1"/>
        <v>48761</v>
      </c>
      <c r="D92" s="9">
        <f t="shared" si="6"/>
        <v>228135.41958338607</v>
      </c>
      <c r="E92" s="9">
        <f t="shared" si="2"/>
        <v>1580.1700587324092</v>
      </c>
      <c r="F92" s="9">
        <f t="shared" si="3"/>
        <v>344.43653598906803</v>
      </c>
      <c r="G92" s="9">
        <f t="shared" si="4"/>
        <v>1235.7335227433412</v>
      </c>
      <c r="H92" s="9">
        <f t="shared" si="5"/>
        <v>227790.983047397</v>
      </c>
    </row>
    <row r="93" x14ac:dyDescent="0.25">
      <c r="B93" s="13">
        <f t="shared" si="0"/>
        <v>80</v>
      </c>
      <c r="C93" s="14">
        <f t="shared" si="1"/>
        <v>48792</v>
      </c>
      <c r="D93" s="9">
        <f t="shared" si="6"/>
        <v>227790.983047397</v>
      </c>
      <c r="E93" s="9">
        <f t="shared" si="2"/>
        <v>1580.1700587324092</v>
      </c>
      <c r="F93" s="9">
        <f t="shared" si="3"/>
        <v>346.302233892342</v>
      </c>
      <c r="G93" s="9">
        <f t="shared" si="4"/>
        <v>1233.8678248400672</v>
      </c>
      <c r="H93" s="9">
        <f t="shared" si="5"/>
        <v>227444.68081350464</v>
      </c>
    </row>
    <row r="94" x14ac:dyDescent="0.25">
      <c r="B94" s="13">
        <f t="shared" si="0"/>
        <v>81</v>
      </c>
      <c r="C94" s="14">
        <f t="shared" si="1"/>
        <v>48823</v>
      </c>
      <c r="D94" s="9">
        <f t="shared" si="6"/>
        <v>227444.68081350464</v>
      </c>
      <c r="E94" s="9">
        <f t="shared" si="2"/>
        <v>1580.1700587324092</v>
      </c>
      <c r="F94" s="9">
        <f t="shared" si="3"/>
        <v>348.17803765925896</v>
      </c>
      <c r="G94" s="9">
        <f t="shared" si="4"/>
        <v>1231.9920210731502</v>
      </c>
      <c r="H94" s="9">
        <f t="shared" si="5"/>
        <v>227096.50277584538</v>
      </c>
    </row>
    <row r="95" x14ac:dyDescent="0.25">
      <c r="B95" s="13">
        <f t="shared" si="0"/>
        <v>82</v>
      </c>
      <c r="C95" s="14">
        <f t="shared" si="1"/>
        <v>48853</v>
      </c>
      <c r="D95" s="9">
        <f t="shared" si="6"/>
        <v>227096.50277584538</v>
      </c>
      <c r="E95" s="9">
        <f t="shared" si="2"/>
        <v>1580.1700587324092</v>
      </c>
      <c r="F95" s="9">
        <f t="shared" si="3"/>
        <v>350.06400202991335</v>
      </c>
      <c r="G95" s="9">
        <f t="shared" si="4"/>
        <v>1230.1060567024958</v>
      </c>
      <c r="H95" s="9">
        <f t="shared" si="5"/>
        <v>226746.43877381546</v>
      </c>
    </row>
    <row r="96" x14ac:dyDescent="0.25">
      <c r="B96" s="13">
        <f t="shared" si="0"/>
        <v>83</v>
      </c>
      <c r="C96" s="14">
        <f t="shared" si="1"/>
        <v>48884</v>
      </c>
      <c r="D96" s="9">
        <f t="shared" si="6"/>
        <v>226746.43877381546</v>
      </c>
      <c r="E96" s="9">
        <f t="shared" si="2"/>
        <v>1580.1700587324092</v>
      </c>
      <c r="F96" s="9">
        <f t="shared" si="3"/>
        <v>351.9601820409089</v>
      </c>
      <c r="G96" s="9">
        <f t="shared" si="4"/>
        <v>1228.2098766915003</v>
      </c>
      <c r="H96" s="9">
        <f t="shared" si="5"/>
        <v>226394.47859177456</v>
      </c>
    </row>
    <row r="97" x14ac:dyDescent="0.25">
      <c r="B97" s="13">
        <f t="shared" si="0"/>
        <v>84</v>
      </c>
      <c r="C97" s="14">
        <f t="shared" si="1"/>
        <v>48914</v>
      </c>
      <c r="D97" s="9">
        <f t="shared" si="6"/>
        <v>226394.47859177456</v>
      </c>
      <c r="E97" s="9">
        <f t="shared" si="2"/>
        <v>1580.1700587324092</v>
      </c>
      <c r="F97" s="9">
        <f t="shared" si="3"/>
        <v>353.86663302696365</v>
      </c>
      <c r="G97" s="9">
        <f t="shared" si="4"/>
        <v>1226.3034257054455</v>
      </c>
      <c r="H97" s="9">
        <f t="shared" si="5"/>
        <v>226040.61195874758</v>
      </c>
    </row>
    <row r="98" x14ac:dyDescent="0.25">
      <c r="B98" s="13">
        <f t="shared" si="0"/>
        <v>85</v>
      </c>
      <c r="C98" s="14">
        <f t="shared" si="1"/>
        <v>48945</v>
      </c>
      <c r="D98" s="9">
        <f t="shared" si="6"/>
        <v>226040.61195874758</v>
      </c>
      <c r="E98" s="9">
        <f t="shared" si="2"/>
        <v>1580.1700587324092</v>
      </c>
      <c r="F98" s="9">
        <f t="shared" si="3"/>
        <v>355.7834106225264</v>
      </c>
      <c r="G98" s="9">
        <f t="shared" si="4"/>
        <v>1224.3866481098828</v>
      </c>
      <c r="H98" s="9">
        <f t="shared" si="5"/>
        <v>225684.82854812505</v>
      </c>
    </row>
    <row r="99" x14ac:dyDescent="0.25">
      <c r="B99" s="13">
        <f t="shared" si="0"/>
        <v>86</v>
      </c>
      <c r="C99" s="14">
        <f t="shared" si="1"/>
        <v>48976</v>
      </c>
      <c r="D99" s="9">
        <f t="shared" si="6"/>
        <v>225684.82854812505</v>
      </c>
      <c r="E99" s="9">
        <f t="shared" si="2"/>
        <v>1580.1700587324092</v>
      </c>
      <c r="F99" s="9">
        <f t="shared" si="3"/>
        <v>357.71057076339844</v>
      </c>
      <c r="G99" s="9">
        <f t="shared" si="4"/>
        <v>1222.4594879690108</v>
      </c>
      <c r="H99" s="9">
        <f t="shared" si="5"/>
        <v>225327.11797736166</v>
      </c>
    </row>
    <row r="100" x14ac:dyDescent="0.25">
      <c r="B100" s="13">
        <f t="shared" si="0"/>
        <v>87</v>
      </c>
      <c r="C100" s="14">
        <f t="shared" si="1"/>
        <v>49004</v>
      </c>
      <c r="D100" s="9">
        <f t="shared" si="6"/>
        <v>225327.11797736166</v>
      </c>
      <c r="E100" s="9">
        <f t="shared" si="2"/>
        <v>1580.1700587324092</v>
      </c>
      <c r="F100" s="9">
        <f t="shared" si="3"/>
        <v>359.6481696883668</v>
      </c>
      <c r="G100" s="9">
        <f t="shared" si="4"/>
        <v>1220.5218890440424</v>
      </c>
      <c r="H100" s="9">
        <f t="shared" si="5"/>
        <v>224967.4698076733</v>
      </c>
    </row>
    <row r="101" x14ac:dyDescent="0.25">
      <c r="B101" s="13">
        <f t="shared" si="0"/>
        <v>88</v>
      </c>
      <c r="C101" s="14">
        <f t="shared" si="1"/>
        <v>49035</v>
      </c>
      <c r="D101" s="9">
        <f t="shared" si="6"/>
        <v>224967.4698076733</v>
      </c>
      <c r="E101" s="9">
        <f t="shared" si="2"/>
        <v>1580.1700587324092</v>
      </c>
      <c r="F101" s="9">
        <f t="shared" si="3"/>
        <v>361.59626394084535</v>
      </c>
      <c r="G101" s="9">
        <f t="shared" si="4"/>
        <v>1218.5737947915638</v>
      </c>
      <c r="H101" s="9">
        <f t="shared" si="5"/>
        <v>224605.87354373245</v>
      </c>
    </row>
    <row r="102" x14ac:dyDescent="0.25">
      <c r="B102" s="13">
        <f t="shared" si="0"/>
        <v>89</v>
      </c>
      <c r="C102" s="14">
        <f t="shared" si="1"/>
        <v>49065</v>
      </c>
      <c r="D102" s="9">
        <f t="shared" si="6"/>
        <v>224605.87354373245</v>
      </c>
      <c r="E102" s="9">
        <f t="shared" si="2"/>
        <v>1580.1700587324092</v>
      </c>
      <c r="F102" s="9">
        <f t="shared" si="3"/>
        <v>363.554910370525</v>
      </c>
      <c r="G102" s="9">
        <f t="shared" si="4"/>
        <v>1216.6151483618842</v>
      </c>
      <c r="H102" s="9">
        <f t="shared" si="5"/>
        <v>224242.31863336192</v>
      </c>
    </row>
    <row r="103" x14ac:dyDescent="0.25">
      <c r="B103" s="13">
        <f t="shared" si="0"/>
        <v>90</v>
      </c>
      <c r="C103" s="14">
        <f t="shared" si="1"/>
        <v>49096</v>
      </c>
      <c r="D103" s="9">
        <f t="shared" si="6"/>
        <v>224242.31863336192</v>
      </c>
      <c r="E103" s="9">
        <f t="shared" si="2"/>
        <v>1580.1700587324092</v>
      </c>
      <c r="F103" s="9">
        <f t="shared" si="3"/>
        <v>365.5241661350319</v>
      </c>
      <c r="G103" s="9">
        <f t="shared" si="4"/>
        <v>1214.6458925973773</v>
      </c>
      <c r="H103" s="9">
        <f t="shared" si="5"/>
        <v>223876.7944672269</v>
      </c>
    </row>
    <row r="104" x14ac:dyDescent="0.25">
      <c r="B104" s="13">
        <f t="shared" si="0"/>
        <v>91</v>
      </c>
      <c r="C104" s="14">
        <f t="shared" si="1"/>
        <v>49126</v>
      </c>
      <c r="D104" s="9">
        <f t="shared" si="6"/>
        <v>223876.7944672269</v>
      </c>
      <c r="E104" s="9">
        <f t="shared" si="2"/>
        <v>1580.1700587324092</v>
      </c>
      <c r="F104" s="9">
        <f t="shared" si="3"/>
        <v>367.50408870159686</v>
      </c>
      <c r="G104" s="9">
        <f t="shared" si="4"/>
        <v>1212.6659700308123</v>
      </c>
      <c r="H104" s="9">
        <f t="shared" si="5"/>
        <v>223509.2903785253</v>
      </c>
    </row>
    <row r="105" x14ac:dyDescent="0.25">
      <c r="B105" s="13">
        <f t="shared" si="0"/>
        <v>92</v>
      </c>
      <c r="C105" s="14">
        <f t="shared" si="1"/>
        <v>49157</v>
      </c>
      <c r="D105" s="9">
        <f t="shared" si="6"/>
        <v>223509.2903785253</v>
      </c>
      <c r="E105" s="9">
        <f t="shared" si="2"/>
        <v>1580.1700587324092</v>
      </c>
      <c r="F105" s="9">
        <f t="shared" si="3"/>
        <v>369.49473584873044</v>
      </c>
      <c r="G105" s="9">
        <f t="shared" si="4"/>
        <v>1210.6753228836787</v>
      </c>
      <c r="H105" s="9">
        <f t="shared" si="5"/>
        <v>223139.79564267656</v>
      </c>
    </row>
    <row r="106" x14ac:dyDescent="0.25">
      <c r="B106" s="13">
        <f t="shared" si="0"/>
        <v>93</v>
      </c>
      <c r="C106" s="14">
        <f t="shared" si="1"/>
        <v>49188</v>
      </c>
      <c r="D106" s="9">
        <f t="shared" si="6"/>
        <v>223139.79564267656</v>
      </c>
      <c r="E106" s="9">
        <f t="shared" si="2"/>
        <v>1580.1700587324092</v>
      </c>
      <c r="F106" s="9">
        <f t="shared" si="3"/>
        <v>371.4961656679111</v>
      </c>
      <c r="G106" s="9">
        <f t="shared" si="4"/>
        <v>1208.673893064498</v>
      </c>
      <c r="H106" s="9">
        <f t="shared" si="5"/>
        <v>222768.29947700864</v>
      </c>
    </row>
    <row r="107" x14ac:dyDescent="0.25">
      <c r="B107" s="13">
        <f t="shared" si="0"/>
        <v>94</v>
      </c>
      <c r="C107" s="14">
        <f t="shared" si="1"/>
        <v>49218</v>
      </c>
      <c r="D107" s="9">
        <f t="shared" si="6"/>
        <v>222768.29947700864</v>
      </c>
      <c r="E107" s="9">
        <f t="shared" si="2"/>
        <v>1580.1700587324092</v>
      </c>
      <c r="F107" s="9">
        <f t="shared" si="3"/>
        <v>373.508436565279</v>
      </c>
      <c r="G107" s="9">
        <f t="shared" si="4"/>
        <v>1206.6616221671302</v>
      </c>
      <c r="H107" s="9">
        <f t="shared" si="5"/>
        <v>222394.79104044335</v>
      </c>
    </row>
    <row r="108" x14ac:dyDescent="0.25">
      <c r="B108" s="13">
        <f t="shared" si="0"/>
        <v>95</v>
      </c>
      <c r="C108" s="14">
        <f t="shared" si="1"/>
        <v>49249</v>
      </c>
      <c r="D108" s="9">
        <f t="shared" si="6"/>
        <v>222394.79104044335</v>
      </c>
      <c r="E108" s="9">
        <f t="shared" si="2"/>
        <v>1580.1700587324092</v>
      </c>
      <c r="F108" s="9">
        <f t="shared" si="3"/>
        <v>375.5316072633409</v>
      </c>
      <c r="G108" s="9">
        <f t="shared" si="4"/>
        <v>1204.6384514690683</v>
      </c>
      <c r="H108" s="9">
        <f t="shared" si="5"/>
        <v>222019.25943318</v>
      </c>
    </row>
    <row r="109" x14ac:dyDescent="0.25">
      <c r="B109" s="13">
        <f t="shared" si="0"/>
        <v>96</v>
      </c>
      <c r="C109" s="14">
        <f t="shared" si="1"/>
        <v>49279</v>
      </c>
      <c r="D109" s="9">
        <f t="shared" si="6"/>
        <v>222019.25943318</v>
      </c>
      <c r="E109" s="9">
        <f t="shared" si="2"/>
        <v>1580.1700587324092</v>
      </c>
      <c r="F109" s="9">
        <f t="shared" si="3"/>
        <v>377.5657368026841</v>
      </c>
      <c r="G109" s="9">
        <f t="shared" si="4"/>
        <v>1202.604321929725</v>
      </c>
      <c r="H109" s="9">
        <f t="shared" si="5"/>
        <v>221641.69369637733</v>
      </c>
    </row>
    <row r="110" x14ac:dyDescent="0.25">
      <c r="B110" s="13">
        <f t="shared" si="0"/>
        <v>97</v>
      </c>
      <c r="C110" s="14">
        <f t="shared" si="1"/>
        <v>49310</v>
      </c>
      <c r="D110" s="9">
        <f t="shared" si="6"/>
        <v>221641.69369637733</v>
      </c>
      <c r="E110" s="9">
        <f t="shared" si="2"/>
        <v>1580.1700587324092</v>
      </c>
      <c r="F110" s="9">
        <f t="shared" si="3"/>
        <v>379.6108845436986</v>
      </c>
      <c r="G110" s="9">
        <f t="shared" si="4"/>
        <v>1200.5591741887106</v>
      </c>
      <c r="H110" s="9">
        <f t="shared" si="5"/>
        <v>221262.08281183362</v>
      </c>
    </row>
    <row r="111" x14ac:dyDescent="0.25">
      <c r="B111" s="13">
        <f t="shared" si="0"/>
        <v>98</v>
      </c>
      <c r="C111" s="14">
        <f t="shared" si="1"/>
        <v>49341</v>
      </c>
      <c r="D111" s="9">
        <f t="shared" si="6"/>
        <v>221262.08281183362</v>
      </c>
      <c r="E111" s="9">
        <f t="shared" si="2"/>
        <v>1580.1700587324092</v>
      </c>
      <c r="F111" s="9">
        <f t="shared" si="3"/>
        <v>381.6671101683105</v>
      </c>
      <c r="G111" s="9">
        <f t="shared" si="4"/>
        <v>1198.5029485640987</v>
      </c>
      <c r="H111" s="9">
        <f t="shared" si="5"/>
        <v>220880.4157016653</v>
      </c>
    </row>
    <row r="112" x14ac:dyDescent="0.25">
      <c r="B112" s="13">
        <f t="shared" si="0"/>
        <v>99</v>
      </c>
      <c r="C112" s="14">
        <f t="shared" si="1"/>
        <v>49369</v>
      </c>
      <c r="D112" s="9">
        <f t="shared" si="6"/>
        <v>220880.4157016653</v>
      </c>
      <c r="E112" s="9">
        <f t="shared" si="2"/>
        <v>1580.1700587324092</v>
      </c>
      <c r="F112" s="9">
        <f t="shared" si="3"/>
        <v>383.7344736817222</v>
      </c>
      <c r="G112" s="9">
        <f t="shared" si="4"/>
        <v>1196.435585050687</v>
      </c>
      <c r="H112" s="9">
        <f t="shared" si="5"/>
        <v>220496.6812279836</v>
      </c>
    </row>
    <row r="113" x14ac:dyDescent="0.25">
      <c r="B113" s="13">
        <f t="shared" si="0"/>
        <v>100</v>
      </c>
      <c r="C113" s="14">
        <f t="shared" si="1"/>
        <v>49400</v>
      </c>
      <c r="D113" s="9">
        <f t="shared" si="6"/>
        <v>220496.6812279836</v>
      </c>
      <c r="E113" s="9">
        <f t="shared" si="2"/>
        <v>1580.1700587324092</v>
      </c>
      <c r="F113" s="9">
        <f t="shared" si="3"/>
        <v>385.8130354141647</v>
      </c>
      <c r="G113" s="9">
        <f t="shared" si="4"/>
        <v>1194.3570233182445</v>
      </c>
      <c r="H113" s="9">
        <f t="shared" si="5"/>
        <v>220110.8681925694</v>
      </c>
    </row>
    <row r="114" x14ac:dyDescent="0.25">
      <c r="B114" s="13">
        <f t="shared" si="0"/>
        <v>101</v>
      </c>
      <c r="C114" s="14">
        <f t="shared" si="1"/>
        <v>49430</v>
      </c>
      <c r="D114" s="9">
        <f t="shared" si="6"/>
        <v>220110.8681925694</v>
      </c>
      <c r="E114" s="9">
        <f t="shared" si="2"/>
        <v>1580.1700587324092</v>
      </c>
      <c r="F114" s="9">
        <f t="shared" si="3"/>
        <v>387.90285602265817</v>
      </c>
      <c r="G114" s="9">
        <f t="shared" si="4"/>
        <v>1192.267202709751</v>
      </c>
      <c r="H114" s="9">
        <f t="shared" si="5"/>
        <v>219722.96533654674</v>
      </c>
    </row>
    <row r="115" x14ac:dyDescent="0.25">
      <c r="B115" s="13">
        <f t="shared" si="0"/>
        <v>102</v>
      </c>
      <c r="C115" s="14">
        <f t="shared" si="1"/>
        <v>49461</v>
      </c>
      <c r="D115" s="9">
        <f t="shared" si="6"/>
        <v>219722.96533654674</v>
      </c>
      <c r="E115" s="9">
        <f t="shared" si="2"/>
        <v>1580.1700587324092</v>
      </c>
      <c r="F115" s="9">
        <f t="shared" si="3"/>
        <v>390.00399649278097</v>
      </c>
      <c r="G115" s="9">
        <f t="shared" si="4"/>
        <v>1190.1660622396282</v>
      </c>
      <c r="H115" s="9">
        <f t="shared" si="5"/>
        <v>219332.96134005397</v>
      </c>
    </row>
    <row r="116" x14ac:dyDescent="0.25">
      <c r="B116" s="13">
        <f t="shared" si="0"/>
        <v>103</v>
      </c>
      <c r="C116" s="14">
        <f t="shared" si="1"/>
        <v>49491</v>
      </c>
      <c r="D116" s="9">
        <f t="shared" si="6"/>
        <v>219332.96134005397</v>
      </c>
      <c r="E116" s="9">
        <f t="shared" si="2"/>
        <v>1580.1700587324092</v>
      </c>
      <c r="F116" s="9">
        <f t="shared" si="3"/>
        <v>392.1165181404501</v>
      </c>
      <c r="G116" s="9">
        <f t="shared" si="4"/>
        <v>1188.053540591959</v>
      </c>
      <c r="H116" s="9">
        <f t="shared" si="5"/>
        <v>218940.84482191352</v>
      </c>
    </row>
    <row r="117" x14ac:dyDescent="0.25">
      <c r="B117" s="13">
        <f t="shared" si="0"/>
        <v>104</v>
      </c>
      <c r="C117" s="14">
        <f t="shared" si="1"/>
        <v>49522</v>
      </c>
      <c r="D117" s="9">
        <f t="shared" si="6"/>
        <v>218940.84482191352</v>
      </c>
      <c r="E117" s="9">
        <f t="shared" si="2"/>
        <v>1580.1700587324092</v>
      </c>
      <c r="F117" s="9">
        <f t="shared" si="3"/>
        <v>394.2404826137108</v>
      </c>
      <c r="G117" s="9">
        <f t="shared" si="4"/>
        <v>1185.9295761186984</v>
      </c>
      <c r="H117" s="9">
        <f t="shared" si="5"/>
        <v>218546.6043392998</v>
      </c>
    </row>
    <row r="118" x14ac:dyDescent="0.25">
      <c r="B118" s="13">
        <f t="shared" si="0"/>
        <v>105</v>
      </c>
      <c r="C118" s="14">
        <f t="shared" si="1"/>
        <v>49553</v>
      </c>
      <c r="D118" s="9">
        <f t="shared" si="6"/>
        <v>218546.6043392998</v>
      </c>
      <c r="E118" s="9">
        <f t="shared" si="2"/>
        <v>1580.1700587324092</v>
      </c>
      <c r="F118" s="9">
        <f t="shared" si="3"/>
        <v>396.3759518945353</v>
      </c>
      <c r="G118" s="9">
        <f t="shared" si="4"/>
        <v>1183.7941068378739</v>
      </c>
      <c r="H118" s="9">
        <f t="shared" si="5"/>
        <v>218150.22838740528</v>
      </c>
    </row>
    <row r="119" x14ac:dyDescent="0.25">
      <c r="B119" s="13">
        <f t="shared" si="0"/>
        <v>106</v>
      </c>
      <c r="C119" s="14">
        <f t="shared" si="1"/>
        <v>49583</v>
      </c>
      <c r="D119" s="9">
        <f t="shared" si="6"/>
        <v>218150.22838740528</v>
      </c>
      <c r="E119" s="9">
        <f t="shared" si="2"/>
        <v>1580.1700587324092</v>
      </c>
      <c r="F119" s="9">
        <f t="shared" si="3"/>
        <v>398.52298830063046</v>
      </c>
      <c r="G119" s="9">
        <f t="shared" si="4"/>
        <v>1181.6470704317787</v>
      </c>
      <c r="H119" s="9">
        <f t="shared" si="5"/>
        <v>217751.70539910466</v>
      </c>
    </row>
    <row r="120" x14ac:dyDescent="0.25">
      <c r="B120" s="13">
        <f t="shared" si="0"/>
        <v>107</v>
      </c>
      <c r="C120" s="14">
        <f t="shared" si="1"/>
        <v>49614</v>
      </c>
      <c r="D120" s="9">
        <f t="shared" si="6"/>
        <v>217751.70539910466</v>
      </c>
      <c r="E120" s="9">
        <f t="shared" si="2"/>
        <v>1580.1700587324092</v>
      </c>
      <c r="F120" s="9">
        <f t="shared" si="3"/>
        <v>400.68165448725904</v>
      </c>
      <c r="G120" s="9">
        <f t="shared" si="4"/>
        <v>1179.4884042451502</v>
      </c>
      <c r="H120" s="9">
        <f t="shared" si="5"/>
        <v>217351.02374461739</v>
      </c>
    </row>
    <row r="121" x14ac:dyDescent="0.25">
      <c r="B121" s="13">
        <f t="shared" si="0"/>
        <v>108</v>
      </c>
      <c r="C121" s="14">
        <f t="shared" si="1"/>
        <v>49644</v>
      </c>
      <c r="D121" s="9">
        <f t="shared" si="6"/>
        <v>217351.02374461739</v>
      </c>
      <c r="E121" s="9">
        <f t="shared" si="2"/>
        <v>1580.1700587324092</v>
      </c>
      <c r="F121" s="9">
        <f t="shared" si="3"/>
        <v>402.852013449065</v>
      </c>
      <c r="G121" s="9">
        <f t="shared" si="4"/>
        <v>1177.3180452833442</v>
      </c>
      <c r="H121" s="9">
        <f t="shared" si="5"/>
        <v>216948.17173116832</v>
      </c>
    </row>
    <row r="122" x14ac:dyDescent="0.25">
      <c r="B122" s="13">
        <f t="shared" si="0"/>
        <v>109</v>
      </c>
      <c r="C122" s="14">
        <f t="shared" si="1"/>
        <v>49675</v>
      </c>
      <c r="D122" s="9">
        <f t="shared" si="6"/>
        <v>216948.17173116832</v>
      </c>
      <c r="E122" s="9">
        <f t="shared" si="2"/>
        <v>1580.1700587324092</v>
      </c>
      <c r="F122" s="9">
        <f t="shared" si="3"/>
        <v>405.0341285219142</v>
      </c>
      <c r="G122" s="9">
        <f t="shared" si="4"/>
        <v>1175.135930210495</v>
      </c>
      <c r="H122" s="9">
        <f t="shared" si="5"/>
        <v>216543.1376026464</v>
      </c>
    </row>
    <row r="123" x14ac:dyDescent="0.25">
      <c r="B123" s="13">
        <f t="shared" si="0"/>
        <v>110</v>
      </c>
      <c r="C123" s="14">
        <f t="shared" si="1"/>
        <v>49706</v>
      </c>
      <c r="D123" s="9">
        <f t="shared" si="6"/>
        <v>216543.1376026464</v>
      </c>
      <c r="E123" s="9">
        <f t="shared" si="2"/>
        <v>1580.1700587324092</v>
      </c>
      <c r="F123" s="9">
        <f t="shared" si="3"/>
        <v>407.2280633847413</v>
      </c>
      <c r="G123" s="9">
        <f t="shared" si="4"/>
        <v>1172.941995347668</v>
      </c>
      <c r="H123" s="9">
        <f t="shared" si="5"/>
        <v>216135.90953926166</v>
      </c>
    </row>
    <row r="124" x14ac:dyDescent="0.25">
      <c r="B124" s="13">
        <f t="shared" si="0"/>
        <v>111</v>
      </c>
      <c r="C124" s="14">
        <f t="shared" si="1"/>
        <v>49735</v>
      </c>
      <c r="D124" s="9">
        <f t="shared" si="6"/>
        <v>216135.90953926166</v>
      </c>
      <c r="E124" s="9">
        <f t="shared" si="2"/>
        <v>1580.1700587324092</v>
      </c>
      <c r="F124" s="9">
        <f t="shared" si="3"/>
        <v>409.43388206140844</v>
      </c>
      <c r="G124" s="9">
        <f t="shared" si="4"/>
        <v>1170.7361766710007</v>
      </c>
      <c r="H124" s="9">
        <f t="shared" si="5"/>
        <v>215726.47565720024</v>
      </c>
    </row>
    <row r="125" x14ac:dyDescent="0.25">
      <c r="B125" s="13">
        <f t="shared" si="0"/>
        <v>112</v>
      </c>
      <c r="C125" s="14">
        <f t="shared" si="1"/>
        <v>49766</v>
      </c>
      <c r="D125" s="9">
        <f t="shared" si="6"/>
        <v>215726.47565720024</v>
      </c>
      <c r="E125" s="9">
        <f t="shared" si="2"/>
        <v>1580.1700587324092</v>
      </c>
      <c r="F125" s="9">
        <f t="shared" si="3"/>
        <v>411.6516489225746</v>
      </c>
      <c r="G125" s="9">
        <f t="shared" si="4"/>
        <v>1168.5184098098346</v>
      </c>
      <c r="H125" s="9">
        <f t="shared" si="5"/>
        <v>215314.82400827768</v>
      </c>
    </row>
    <row r="126" x14ac:dyDescent="0.25">
      <c r="B126" s="13">
        <f t="shared" si="0"/>
        <v>113</v>
      </c>
      <c r="C126" s="14">
        <f t="shared" si="1"/>
        <v>49796</v>
      </c>
      <c r="D126" s="9">
        <f t="shared" si="6"/>
        <v>215314.82400827768</v>
      </c>
      <c r="E126" s="9">
        <f t="shared" si="2"/>
        <v>1580.1700587324092</v>
      </c>
      <c r="F126" s="9">
        <f t="shared" si="3"/>
        <v>413.88142868757177</v>
      </c>
      <c r="G126" s="9">
        <f t="shared" si="4"/>
        <v>1166.2886300448374</v>
      </c>
      <c r="H126" s="9">
        <f t="shared" si="5"/>
        <v>214900.9425795901</v>
      </c>
    </row>
    <row r="127" x14ac:dyDescent="0.25">
      <c r="B127" s="13">
        <f t="shared" si="0"/>
        <v>114</v>
      </c>
      <c r="C127" s="14">
        <f t="shared" si="1"/>
        <v>49827</v>
      </c>
      <c r="D127" s="9">
        <f t="shared" si="6"/>
        <v>214900.9425795901</v>
      </c>
      <c r="E127" s="9">
        <f t="shared" si="2"/>
        <v>1580.1700587324092</v>
      </c>
      <c r="F127" s="9">
        <f t="shared" si="3"/>
        <v>416.1232864262961</v>
      </c>
      <c r="G127" s="9">
        <f t="shared" si="4"/>
        <v>1164.046772306113</v>
      </c>
      <c r="H127" s="9">
        <f t="shared" si="5"/>
        <v>214484.8192931638</v>
      </c>
    </row>
    <row r="128" x14ac:dyDescent="0.25">
      <c r="B128" s="13">
        <f t="shared" si="0"/>
        <v>115</v>
      </c>
      <c r="C128" s="14">
        <f t="shared" si="1"/>
        <v>49857</v>
      </c>
      <c r="D128" s="9">
        <f t="shared" si="6"/>
        <v>214484.8192931638</v>
      </c>
      <c r="E128" s="9">
        <f t="shared" si="2"/>
        <v>1580.1700587324092</v>
      </c>
      <c r="F128" s="9">
        <f t="shared" si="3"/>
        <v>418.3772875611053</v>
      </c>
      <c r="G128" s="9">
        <f t="shared" si="4"/>
        <v>1161.792771171304</v>
      </c>
      <c r="H128" s="9">
        <f t="shared" si="5"/>
        <v>214066.4420056027</v>
      </c>
    </row>
    <row r="129" x14ac:dyDescent="0.25">
      <c r="B129" s="13">
        <f t="shared" si="0"/>
        <v>116</v>
      </c>
      <c r="C129" s="14">
        <f t="shared" si="1"/>
        <v>49888</v>
      </c>
      <c r="D129" s="9">
        <f t="shared" si="6"/>
        <v>214066.4420056027</v>
      </c>
      <c r="E129" s="9">
        <f t="shared" si="2"/>
        <v>1580.1700587324092</v>
      </c>
      <c r="F129" s="9">
        <f t="shared" si="3"/>
        <v>420.643497868728</v>
      </c>
      <c r="G129" s="9">
        <f t="shared" si="4"/>
        <v>1159.5265608636812</v>
      </c>
      <c r="H129" s="9">
        <f t="shared" si="5"/>
        <v>213645.79850773397</v>
      </c>
    </row>
    <row r="130" x14ac:dyDescent="0.25">
      <c r="B130" s="13">
        <f t="shared" si="0"/>
        <v>117</v>
      </c>
      <c r="C130" s="14">
        <f t="shared" si="1"/>
        <v>49919</v>
      </c>
      <c r="D130" s="9">
        <f t="shared" si="6"/>
        <v>213645.79850773397</v>
      </c>
      <c r="E130" s="9">
        <f t="shared" si="2"/>
        <v>1580.1700587324092</v>
      </c>
      <c r="F130" s="9">
        <f t="shared" si="3"/>
        <v>422.92198348218335</v>
      </c>
      <c r="G130" s="9">
        <f t="shared" si="4"/>
        <v>1157.2480752502258</v>
      </c>
      <c r="H130" s="9">
        <f t="shared" si="5"/>
        <v>213222.8765242518</v>
      </c>
    </row>
    <row r="131" x14ac:dyDescent="0.25">
      <c r="B131" s="13">
        <f t="shared" si="0"/>
        <v>118</v>
      </c>
      <c r="C131" s="14">
        <f t="shared" si="1"/>
        <v>49949</v>
      </c>
      <c r="D131" s="9">
        <f t="shared" si="6"/>
        <v>213222.8765242518</v>
      </c>
      <c r="E131" s="9">
        <f t="shared" si="2"/>
        <v>1580.1700587324092</v>
      </c>
      <c r="F131" s="9">
        <f t="shared" si="3"/>
        <v>425.2128108927118</v>
      </c>
      <c r="G131" s="9">
        <f t="shared" si="4"/>
        <v>1154.9572478396974</v>
      </c>
      <c r="H131" s="9">
        <f t="shared" si="5"/>
        <v>212797.6637133591</v>
      </c>
    </row>
    <row r="132" x14ac:dyDescent="0.25">
      <c r="B132" s="13">
        <f t="shared" si="0"/>
        <v>119</v>
      </c>
      <c r="C132" s="14">
        <f t="shared" si="1"/>
        <v>49980</v>
      </c>
      <c r="D132" s="9">
        <f t="shared" si="6"/>
        <v>212797.6637133591</v>
      </c>
      <c r="E132" s="9">
        <f t="shared" si="2"/>
        <v>1580.1700587324092</v>
      </c>
      <c r="F132" s="9">
        <f t="shared" si="3"/>
        <v>427.5160469517141</v>
      </c>
      <c r="G132" s="9">
        <f t="shared" si="4"/>
        <v>1152.654011780695</v>
      </c>
      <c r="H132" s="9">
        <f t="shared" si="5"/>
        <v>212370.1476664074</v>
      </c>
    </row>
    <row r="133" x14ac:dyDescent="0.25">
      <c r="B133" s="13">
        <f t="shared" si="0"/>
        <v>120</v>
      </c>
      <c r="C133" s="14">
        <f t="shared" si="1"/>
        <v>50010</v>
      </c>
      <c r="D133" s="9">
        <f t="shared" si="6"/>
        <v>212370.1476664074</v>
      </c>
      <c r="E133" s="9">
        <f t="shared" si="2"/>
        <v>1580.1700587324092</v>
      </c>
      <c r="F133" s="9">
        <f t="shared" si="3"/>
        <v>429.83175887270227</v>
      </c>
      <c r="G133" s="9">
        <f t="shared" si="4"/>
        <v>1150.338299859707</v>
      </c>
      <c r="H133" s="9">
        <f t="shared" si="5"/>
        <v>211940.3159075347</v>
      </c>
    </row>
    <row r="134" x14ac:dyDescent="0.25">
      <c r="B134" s="13">
        <f t="shared" si="0"/>
        <v>121</v>
      </c>
      <c r="C134" s="14">
        <f t="shared" si="1"/>
        <v>50041</v>
      </c>
      <c r="D134" s="9">
        <f t="shared" si="6"/>
        <v>211940.3159075347</v>
      </c>
      <c r="E134" s="9">
        <f t="shared" si="2"/>
        <v>1580.1700587324092</v>
      </c>
      <c r="F134" s="9">
        <f t="shared" si="3"/>
        <v>432.1600142332627</v>
      </c>
      <c r="G134" s="9">
        <f t="shared" si="4"/>
        <v>1148.0100444991465</v>
      </c>
      <c r="H134" s="9">
        <f t="shared" si="5"/>
        <v>211508.15589330145</v>
      </c>
    </row>
    <row r="135" x14ac:dyDescent="0.25">
      <c r="B135" s="13">
        <f t="shared" si="0"/>
        <v>122</v>
      </c>
      <c r="C135" s="14">
        <f t="shared" si="1"/>
        <v>50072</v>
      </c>
      <c r="D135" s="9">
        <f t="shared" si="6"/>
        <v>211508.15589330145</v>
      </c>
      <c r="E135" s="9">
        <f t="shared" si="2"/>
        <v>1580.1700587324092</v>
      </c>
      <c r="F135" s="9">
        <f t="shared" si="3"/>
        <v>434.5008809770263</v>
      </c>
      <c r="G135" s="9">
        <f t="shared" si="4"/>
        <v>1145.6691777553829</v>
      </c>
      <c r="H135" s="9">
        <f t="shared" si="5"/>
        <v>211073.65501232442</v>
      </c>
    </row>
    <row r="136" x14ac:dyDescent="0.25">
      <c r="B136" s="13">
        <f t="shared" si="0"/>
        <v>123</v>
      </c>
      <c r="C136" s="14">
        <f t="shared" si="1"/>
        <v>50100</v>
      </c>
      <c r="D136" s="9">
        <f t="shared" si="6"/>
        <v>211073.65501232442</v>
      </c>
      <c r="E136" s="9">
        <f t="shared" si="2"/>
        <v>1580.1700587324092</v>
      </c>
      <c r="F136" s="9">
        <f t="shared" si="3"/>
        <v>436.8544274156518</v>
      </c>
      <c r="G136" s="9">
        <f t="shared" si="4"/>
        <v>1143.3156313167574</v>
      </c>
      <c r="H136" s="9">
        <f t="shared" si="5"/>
        <v>210636.80058490878</v>
      </c>
    </row>
    <row r="137" x14ac:dyDescent="0.25">
      <c r="B137" s="13">
        <f t="shared" si="0"/>
        <v>124</v>
      </c>
      <c r="C137" s="14">
        <f t="shared" si="1"/>
        <v>50131</v>
      </c>
      <c r="D137" s="9">
        <f t="shared" si="6"/>
        <v>210636.80058490878</v>
      </c>
      <c r="E137" s="9">
        <f t="shared" si="2"/>
        <v>1580.1700587324092</v>
      </c>
      <c r="F137" s="9">
        <f t="shared" si="3"/>
        <v>439.22072223082</v>
      </c>
      <c r="G137" s="9">
        <f t="shared" si="4"/>
        <v>1140.9493365015892</v>
      </c>
      <c r="H137" s="9">
        <f t="shared" si="5"/>
        <v>210197.57986267796</v>
      </c>
    </row>
    <row r="138" x14ac:dyDescent="0.25">
      <c r="B138" s="13">
        <f t="shared" si="0"/>
        <v>125</v>
      </c>
      <c r="C138" s="14">
        <f t="shared" si="1"/>
        <v>50161</v>
      </c>
      <c r="D138" s="9">
        <f t="shared" si="6"/>
        <v>210197.57986267796</v>
      </c>
      <c r="E138" s="9">
        <f t="shared" si="2"/>
        <v>1580.1700587324092</v>
      </c>
      <c r="F138" s="9">
        <f t="shared" si="3"/>
        <v>441.599834476237</v>
      </c>
      <c r="G138" s="9">
        <f t="shared" si="4"/>
        <v>1138.5702242561722</v>
      </c>
      <c r="H138" s="9">
        <f t="shared" si="5"/>
        <v>209755.9800282017</v>
      </c>
    </row>
    <row r="139" x14ac:dyDescent="0.25">
      <c r="B139" s="13">
        <f t="shared" si="0"/>
        <v>126</v>
      </c>
      <c r="C139" s="14">
        <f t="shared" si="1"/>
        <v>50192</v>
      </c>
      <c r="D139" s="9">
        <f t="shared" si="6"/>
        <v>209755.9800282017</v>
      </c>
      <c r="E139" s="9">
        <f t="shared" si="2"/>
        <v>1580.1700587324092</v>
      </c>
      <c r="F139" s="9">
        <f t="shared" si="3"/>
        <v>443.9918335796499</v>
      </c>
      <c r="G139" s="9">
        <f t="shared" si="4"/>
        <v>1136.1782251527593</v>
      </c>
      <c r="H139" s="9">
        <f t="shared" si="5"/>
        <v>209311.98819462207</v>
      </c>
    </row>
    <row r="140" x14ac:dyDescent="0.25">
      <c r="B140" s="13">
        <f t="shared" si="0"/>
        <v>127</v>
      </c>
      <c r="C140" s="14">
        <f t="shared" si="1"/>
        <v>50222</v>
      </c>
      <c r="D140" s="9">
        <f t="shared" si="6"/>
        <v>209311.98819462207</v>
      </c>
      <c r="E140" s="9">
        <f t="shared" si="2"/>
        <v>1580.1700587324092</v>
      </c>
      <c r="F140" s="9">
        <f t="shared" si="3"/>
        <v>446.396789344873</v>
      </c>
      <c r="G140" s="9">
        <f t="shared" si="4"/>
        <v>1133.7732693875362</v>
      </c>
      <c r="H140" s="9">
        <f t="shared" si="5"/>
        <v>208865.5914052772</v>
      </c>
    </row>
    <row r="141" x14ac:dyDescent="0.25">
      <c r="B141" s="13">
        <f t="shared" si="0"/>
        <v>128</v>
      </c>
      <c r="C141" s="14">
        <f t="shared" si="1"/>
        <v>50253</v>
      </c>
      <c r="D141" s="9">
        <f t="shared" si="6"/>
        <v>208865.5914052772</v>
      </c>
      <c r="E141" s="9">
        <f t="shared" si="2"/>
        <v>1580.1700587324092</v>
      </c>
      <c r="F141" s="9">
        <f t="shared" si="3"/>
        <v>448.8147719538242</v>
      </c>
      <c r="G141" s="9">
        <f t="shared" si="4"/>
        <v>1131.355286778585</v>
      </c>
      <c r="H141" s="9">
        <f t="shared" si="5"/>
        <v>208416.77663332337</v>
      </c>
    </row>
    <row r="142" x14ac:dyDescent="0.25">
      <c r="B142" s="13">
        <f t="shared" si="0"/>
        <v>129</v>
      </c>
      <c r="C142" s="14">
        <f t="shared" si="1"/>
        <v>50284</v>
      </c>
      <c r="D142" s="9">
        <f t="shared" si="6"/>
        <v>208416.77663332337</v>
      </c>
      <c r="E142" s="9">
        <f t="shared" si="2"/>
        <v>1580.1700587324092</v>
      </c>
      <c r="F142" s="9">
        <f t="shared" si="3"/>
        <v>451.24585196857424</v>
      </c>
      <c r="G142" s="9">
        <f t="shared" si="4"/>
        <v>1128.924206763835</v>
      </c>
      <c r="H142" s="9">
        <f t="shared" si="5"/>
        <v>207965.5307813548</v>
      </c>
    </row>
    <row r="143" x14ac:dyDescent="0.25">
      <c r="B143" s="13">
        <f t="shared" si="0"/>
        <v>130</v>
      </c>
      <c r="C143" s="14">
        <f t="shared" si="1"/>
        <v>50314</v>
      </c>
      <c r="D143" s="9">
        <f t="shared" si="6"/>
        <v>207965.5307813548</v>
      </c>
      <c r="E143" s="9">
        <f t="shared" si="2"/>
        <v>1580.1700587324092</v>
      </c>
      <c r="F143" s="9">
        <f t="shared" si="3"/>
        <v>453.69010033340396</v>
      </c>
      <c r="G143" s="9">
        <f t="shared" si="4"/>
        <v>1126.4799583990052</v>
      </c>
      <c r="H143" s="9">
        <f t="shared" si="5"/>
        <v>207511.84068102142</v>
      </c>
    </row>
    <row r="144" x14ac:dyDescent="0.25">
      <c r="B144" s="13">
        <f t="shared" si="0"/>
        <v>131</v>
      </c>
      <c r="C144" s="14">
        <f t="shared" si="1"/>
        <v>50345</v>
      </c>
      <c r="D144" s="9">
        <f t="shared" si="6"/>
        <v>207511.84068102142</v>
      </c>
      <c r="E144" s="9">
        <f t="shared" si="2"/>
        <v>1580.1700587324092</v>
      </c>
      <c r="F144" s="9">
        <f t="shared" si="3"/>
        <v>456.14758837687646</v>
      </c>
      <c r="G144" s="9">
        <f t="shared" si="4"/>
        <v>1124.0224703555327</v>
      </c>
      <c r="H144" s="9">
        <f t="shared" si="5"/>
        <v>207055.69309264453</v>
      </c>
    </row>
    <row r="145" x14ac:dyDescent="0.25">
      <c r="B145" s="13">
        <f t="shared" si="0"/>
        <v>132</v>
      </c>
      <c r="C145" s="14">
        <f t="shared" si="1"/>
        <v>50375</v>
      </c>
      <c r="D145" s="9">
        <f t="shared" si="6"/>
        <v>207055.69309264453</v>
      </c>
      <c r="E145" s="9">
        <f t="shared" si="2"/>
        <v>1580.1700587324092</v>
      </c>
      <c r="F145" s="9">
        <f t="shared" si="3"/>
        <v>458.61838781391793</v>
      </c>
      <c r="G145" s="9">
        <f t="shared" si="4"/>
        <v>1121.5516709184913</v>
      </c>
      <c r="H145" s="9">
        <f t="shared" si="5"/>
        <v>206597.07470483062</v>
      </c>
    </row>
    <row r="146" x14ac:dyDescent="0.25">
      <c r="B146" s="13">
        <f t="shared" si="0"/>
        <v>133</v>
      </c>
      <c r="C146" s="14">
        <f t="shared" si="1"/>
        <v>50406</v>
      </c>
      <c r="D146" s="9">
        <f t="shared" si="6"/>
        <v>206597.07470483062</v>
      </c>
      <c r="E146" s="9">
        <f t="shared" si="2"/>
        <v>1580.1700587324092</v>
      </c>
      <c r="F146" s="9">
        <f t="shared" si="3"/>
        <v>461.10257074791</v>
      </c>
      <c r="G146" s="9">
        <f t="shared" si="4"/>
        <v>1119.0674879844992</v>
      </c>
      <c r="H146" s="9">
        <f t="shared" si="5"/>
        <v>206135.97213408272</v>
      </c>
    </row>
    <row r="147" x14ac:dyDescent="0.25">
      <c r="B147" s="13">
        <f t="shared" si="0"/>
        <v>134</v>
      </c>
      <c r="C147" s="14">
        <f t="shared" si="1"/>
        <v>50437</v>
      </c>
      <c r="D147" s="9">
        <f t="shared" si="6"/>
        <v>206135.97213408272</v>
      </c>
      <c r="E147" s="9">
        <f t="shared" si="2"/>
        <v>1580.1700587324092</v>
      </c>
      <c r="F147" s="9">
        <f t="shared" si="3"/>
        <v>463.60020967279434</v>
      </c>
      <c r="G147" s="9">
        <f t="shared" si="4"/>
        <v>1116.5698490596149</v>
      </c>
      <c r="H147" s="9">
        <f t="shared" si="5"/>
        <v>205672.37192440993</v>
      </c>
    </row>
    <row r="148" x14ac:dyDescent="0.25">
      <c r="B148" s="13">
        <f t="shared" si="0"/>
        <v>135</v>
      </c>
      <c r="C148" s="14">
        <f t="shared" si="1"/>
        <v>50465</v>
      </c>
      <c r="D148" s="9">
        <f t="shared" si="6"/>
        <v>205672.37192440993</v>
      </c>
      <c r="E148" s="9">
        <f t="shared" si="2"/>
        <v>1580.1700587324092</v>
      </c>
      <c r="F148" s="9">
        <f t="shared" si="3"/>
        <v>466.11137747518865</v>
      </c>
      <c r="G148" s="9">
        <f t="shared" si="4"/>
        <v>1114.0586812572205</v>
      </c>
      <c r="H148" s="9">
        <f t="shared" si="5"/>
        <v>205206.26054693473</v>
      </c>
    </row>
    <row r="149" x14ac:dyDescent="0.25">
      <c r="B149" s="13">
        <f t="shared" si="0"/>
        <v>136</v>
      </c>
      <c r="C149" s="14">
        <f t="shared" si="1"/>
        <v>50496</v>
      </c>
      <c r="D149" s="9">
        <f t="shared" si="6"/>
        <v>205206.26054693473</v>
      </c>
      <c r="E149" s="9">
        <f t="shared" si="2"/>
        <v>1580.1700587324092</v>
      </c>
      <c r="F149" s="9">
        <f t="shared" si="3"/>
        <v>468.6361474365126</v>
      </c>
      <c r="G149" s="9">
        <f t="shared" si="4"/>
        <v>1111.5339112958966</v>
      </c>
      <c r="H149" s="9">
        <f t="shared" si="5"/>
        <v>204737.62439949822</v>
      </c>
    </row>
    <row r="150" x14ac:dyDescent="0.25">
      <c r="B150" s="13">
        <f t="shared" si="0"/>
        <v>137</v>
      </c>
      <c r="C150" s="14">
        <f t="shared" si="1"/>
        <v>50526</v>
      </c>
      <c r="D150" s="9">
        <f t="shared" si="6"/>
        <v>204737.62439949822</v>
      </c>
      <c r="E150" s="9">
        <f t="shared" si="2"/>
        <v>1580.1700587324092</v>
      </c>
      <c r="F150" s="9">
        <f t="shared" si="3"/>
        <v>471.1745932351271</v>
      </c>
      <c r="G150" s="9">
        <f t="shared" si="4"/>
        <v>1108.995465497282</v>
      </c>
      <c r="H150" s="9">
        <f t="shared" si="5"/>
        <v>204266.4498062631</v>
      </c>
    </row>
    <row r="151" x14ac:dyDescent="0.25">
      <c r="B151" s="13">
        <f t="shared" si="0"/>
        <v>138</v>
      </c>
      <c r="C151" s="14">
        <f t="shared" si="1"/>
        <v>50557</v>
      </c>
      <c r="D151" s="9">
        <f t="shared" si="6"/>
        <v>204266.4498062631</v>
      </c>
      <c r="E151" s="9">
        <f t="shared" si="2"/>
        <v>1580.1700587324092</v>
      </c>
      <c r="F151" s="9">
        <f t="shared" si="3"/>
        <v>473.7267889484842</v>
      </c>
      <c r="G151" s="9">
        <f t="shared" si="4"/>
        <v>1106.443269783925</v>
      </c>
      <c r="H151" s="9">
        <f t="shared" si="5"/>
        <v>203792.7230173146</v>
      </c>
    </row>
    <row r="152" x14ac:dyDescent="0.25">
      <c r="B152" s="13">
        <f t="shared" si="0"/>
        <v>139</v>
      </c>
      <c r="C152" s="14">
        <f t="shared" si="1"/>
        <v>50587</v>
      </c>
      <c r="D152" s="9">
        <f t="shared" si="6"/>
        <v>203792.7230173146</v>
      </c>
      <c r="E152" s="9">
        <f t="shared" si="2"/>
        <v>1580.1700587324092</v>
      </c>
      <c r="F152" s="9">
        <f t="shared" si="3"/>
        <v>476.29280905528844</v>
      </c>
      <c r="G152" s="9">
        <f t="shared" si="4"/>
        <v>1103.8772496771207</v>
      </c>
      <c r="H152" s="9">
        <f t="shared" si="5"/>
        <v>203316.43020825932</v>
      </c>
    </row>
    <row r="153" x14ac:dyDescent="0.25">
      <c r="B153" s="13">
        <f t="shared" si="0"/>
        <v>140</v>
      </c>
      <c r="C153" s="14">
        <f t="shared" si="1"/>
        <v>50618</v>
      </c>
      <c r="D153" s="9">
        <f t="shared" si="6"/>
        <v>203316.43020825932</v>
      </c>
      <c r="E153" s="9">
        <f t="shared" si="2"/>
        <v>1580.1700587324092</v>
      </c>
      <c r="F153" s="9">
        <f t="shared" si="3"/>
        <v>478.8727284376712</v>
      </c>
      <c r="G153" s="9">
        <f t="shared" si="4"/>
        <v>1101.297330294738</v>
      </c>
      <c r="H153" s="9">
        <f t="shared" si="5"/>
        <v>202837.55747982164</v>
      </c>
    </row>
    <row r="154" x14ac:dyDescent="0.25">
      <c r="B154" s="13">
        <f t="shared" si="0"/>
        <v>141</v>
      </c>
      <c r="C154" s="14">
        <f t="shared" si="1"/>
        <v>50649</v>
      </c>
      <c r="D154" s="9">
        <f t="shared" si="6"/>
        <v>202837.55747982164</v>
      </c>
      <c r="E154" s="9">
        <f t="shared" si="2"/>
        <v>1580.1700587324092</v>
      </c>
      <c r="F154" s="9">
        <f t="shared" si="3"/>
        <v>481.4666223833751</v>
      </c>
      <c r="G154" s="9">
        <f t="shared" si="4"/>
        <v>1098.703436349034</v>
      </c>
      <c r="H154" s="9">
        <f t="shared" si="5"/>
        <v>202356.09085743828</v>
      </c>
    </row>
    <row r="155" x14ac:dyDescent="0.25">
      <c r="B155" s="13">
        <f t="shared" si="0"/>
        <v>142</v>
      </c>
      <c r="C155" s="14">
        <f t="shared" si="1"/>
        <v>50679</v>
      </c>
      <c r="D155" s="9">
        <f t="shared" si="6"/>
        <v>202356.09085743828</v>
      </c>
      <c r="E155" s="9">
        <f t="shared" si="2"/>
        <v>1580.1700587324092</v>
      </c>
      <c r="F155" s="9">
        <f t="shared" si="3"/>
        <v>484.0745665879517</v>
      </c>
      <c r="G155" s="9">
        <f t="shared" si="4"/>
        <v>1096.0954921444575</v>
      </c>
      <c r="H155" s="9">
        <f t="shared" si="5"/>
        <v>201872.01629085033</v>
      </c>
    </row>
    <row r="156" x14ac:dyDescent="0.25">
      <c r="B156" s="13">
        <f t="shared" si="0"/>
        <v>143</v>
      </c>
      <c r="C156" s="14">
        <f t="shared" si="1"/>
        <v>50710</v>
      </c>
      <c r="D156" s="9">
        <f t="shared" si="6"/>
        <v>201872.01629085033</v>
      </c>
      <c r="E156" s="9">
        <f t="shared" si="2"/>
        <v>1580.1700587324092</v>
      </c>
      <c r="F156" s="9">
        <f t="shared" si="3"/>
        <v>486.6966371569699</v>
      </c>
      <c r="G156" s="9">
        <f t="shared" si="4"/>
        <v>1093.4734215754393</v>
      </c>
      <c r="H156" s="9">
        <f t="shared" si="5"/>
        <v>201385.31965369335</v>
      </c>
    </row>
    <row r="157" x14ac:dyDescent="0.25">
      <c r="B157" s="13">
        <f t="shared" si="0"/>
        <v>144</v>
      </c>
      <c r="C157" s="14">
        <f t="shared" si="1"/>
        <v>50740</v>
      </c>
      <c r="D157" s="9">
        <f t="shared" si="6"/>
        <v>201385.31965369335</v>
      </c>
      <c r="E157" s="9">
        <f t="shared" si="2"/>
        <v>1580.1700587324092</v>
      </c>
      <c r="F157" s="9">
        <f t="shared" si="3"/>
        <v>489.33291060823694</v>
      </c>
      <c r="G157" s="9">
        <f t="shared" si="4"/>
        <v>1090.8371481241722</v>
      </c>
      <c r="H157" s="9">
        <f t="shared" si="5"/>
        <v>200895.98674308512</v>
      </c>
    </row>
    <row r="158" x14ac:dyDescent="0.25">
      <c r="B158" s="13">
        <f t="shared" si="0"/>
        <v>145</v>
      </c>
      <c r="C158" s="14">
        <f t="shared" si="1"/>
        <v>50771</v>
      </c>
      <c r="D158" s="9">
        <f t="shared" si="6"/>
        <v>200895.98674308512</v>
      </c>
      <c r="E158" s="9">
        <f t="shared" si="2"/>
        <v>1580.1700587324092</v>
      </c>
      <c r="F158" s="9">
        <f t="shared" si="3"/>
        <v>491.9834638740315</v>
      </c>
      <c r="G158" s="9">
        <f t="shared" si="4"/>
        <v>1088.1865948583777</v>
      </c>
      <c r="H158" s="9">
        <f t="shared" si="5"/>
        <v>200404.0032792111</v>
      </c>
    </row>
    <row r="159" x14ac:dyDescent="0.25">
      <c r="B159" s="13">
        <f t="shared" si="0"/>
        <v>146</v>
      </c>
      <c r="C159" s="14">
        <f t="shared" si="1"/>
        <v>50802</v>
      </c>
      <c r="D159" s="9">
        <f t="shared" si="6"/>
        <v>200404.0032792111</v>
      </c>
      <c r="E159" s="9">
        <f t="shared" si="2"/>
        <v>1580.1700587324092</v>
      </c>
      <c r="F159" s="9">
        <f t="shared" si="3"/>
        <v>494.6483743033491</v>
      </c>
      <c r="G159" s="9">
        <f t="shared" si="4"/>
        <v>1085.52168442906</v>
      </c>
      <c r="H159" s="9">
        <f t="shared" si="5"/>
        <v>199909.35490490773</v>
      </c>
    </row>
    <row r="160" x14ac:dyDescent="0.25">
      <c r="B160" s="13">
        <f t="shared" si="0"/>
        <v>147</v>
      </c>
      <c r="C160" s="14">
        <f t="shared" si="1"/>
        <v>50830</v>
      </c>
      <c r="D160" s="9">
        <f t="shared" si="6"/>
        <v>199909.35490490773</v>
      </c>
      <c r="E160" s="9">
        <f t="shared" si="2"/>
        <v>1580.1700587324092</v>
      </c>
      <c r="F160" s="9">
        <f t="shared" si="3"/>
        <v>497.32771966415885</v>
      </c>
      <c r="G160" s="9">
        <f t="shared" si="4"/>
        <v>1082.8423390682503</v>
      </c>
      <c r="H160" s="9">
        <f t="shared" si="5"/>
        <v>199412.02718524355</v>
      </c>
    </row>
    <row r="161" x14ac:dyDescent="0.25">
      <c r="B161" s="13">
        <f t="shared" si="0"/>
        <v>148</v>
      </c>
      <c r="C161" s="14">
        <f t="shared" si="1"/>
        <v>50861</v>
      </c>
      <c r="D161" s="9">
        <f t="shared" si="6"/>
        <v>199412.02718524355</v>
      </c>
      <c r="E161" s="9">
        <f t="shared" si="2"/>
        <v>1580.1700587324092</v>
      </c>
      <c r="F161" s="9">
        <f t="shared" si="3"/>
        <v>500.0215781456732</v>
      </c>
      <c r="G161" s="9">
        <f t="shared" si="4"/>
        <v>1080.148480586736</v>
      </c>
      <c r="H161" s="9">
        <f t="shared" si="5"/>
        <v>198912.00560709788</v>
      </c>
    </row>
    <row r="162" x14ac:dyDescent="0.25">
      <c r="B162" s="13">
        <f t="shared" si="0"/>
        <v>149</v>
      </c>
      <c r="C162" s="14">
        <f t="shared" si="1"/>
        <v>50891</v>
      </c>
      <c r="D162" s="9">
        <f t="shared" si="6"/>
        <v>198912.00560709788</v>
      </c>
      <c r="E162" s="9">
        <f t="shared" si="2"/>
        <v>1580.1700587324092</v>
      </c>
      <c r="F162" s="9">
        <f t="shared" si="3"/>
        <v>502.7300283606289</v>
      </c>
      <c r="G162" s="9">
        <f t="shared" si="4"/>
        <v>1077.4400303717803</v>
      </c>
      <c r="H162" s="9">
        <f t="shared" si="5"/>
        <v>198409.27557873726</v>
      </c>
    </row>
    <row r="163" x14ac:dyDescent="0.25">
      <c r="B163" s="13">
        <f t="shared" si="0"/>
        <v>150</v>
      </c>
      <c r="C163" s="14">
        <f t="shared" si="1"/>
        <v>50922</v>
      </c>
      <c r="D163" s="9">
        <f t="shared" si="6"/>
        <v>198409.27557873726</v>
      </c>
      <c r="E163" s="9">
        <f t="shared" si="2"/>
        <v>1580.1700587324092</v>
      </c>
      <c r="F163" s="9">
        <f t="shared" si="3"/>
        <v>505.45314934758244</v>
      </c>
      <c r="G163" s="9">
        <f t="shared" si="4"/>
        <v>1074.7169093848267</v>
      </c>
      <c r="H163" s="9">
        <f t="shared" si="5"/>
        <v>197903.82242938966</v>
      </c>
    </row>
    <row r="164" x14ac:dyDescent="0.25">
      <c r="B164" s="13">
        <f t="shared" si="0"/>
        <v>151</v>
      </c>
      <c r="C164" s="14">
        <f t="shared" si="1"/>
        <v>50952</v>
      </c>
      <c r="D164" s="9">
        <f t="shared" si="6"/>
        <v>197903.82242938966</v>
      </c>
      <c r="E164" s="9">
        <f t="shared" si="2"/>
        <v>1580.1700587324092</v>
      </c>
      <c r="F164" s="9">
        <f t="shared" si="3"/>
        <v>508.19102057321516</v>
      </c>
      <c r="G164" s="9">
        <f t="shared" si="4"/>
        <v>1071.979038159194</v>
      </c>
      <c r="H164" s="9">
        <f t="shared" si="5"/>
        <v>197395.63140881644</v>
      </c>
    </row>
    <row r="165" x14ac:dyDescent="0.25">
      <c r="B165" s="13">
        <f t="shared" si="0"/>
        <v>152</v>
      </c>
      <c r="C165" s="14">
        <f t="shared" si="1"/>
        <v>50983</v>
      </c>
      <c r="D165" s="9">
        <f t="shared" si="6"/>
        <v>197395.63140881644</v>
      </c>
      <c r="E165" s="9">
        <f t="shared" si="2"/>
        <v>1580.1700587324092</v>
      </c>
      <c r="F165" s="9">
        <f t="shared" si="3"/>
        <v>510.94372193465347</v>
      </c>
      <c r="G165" s="9">
        <f t="shared" si="4"/>
        <v>1069.2263367977557</v>
      </c>
      <c r="H165" s="9">
        <f t="shared" si="5"/>
        <v>196884.68768688178</v>
      </c>
    </row>
    <row r="166" x14ac:dyDescent="0.25">
      <c r="B166" s="13">
        <f t="shared" si="0"/>
        <v>153</v>
      </c>
      <c r="C166" s="14">
        <f t="shared" si="1"/>
        <v>51014</v>
      </c>
      <c r="D166" s="9">
        <f t="shared" si="6"/>
        <v>196884.68768688178</v>
      </c>
      <c r="E166" s="9">
        <f t="shared" si="2"/>
        <v>1580.1700587324092</v>
      </c>
      <c r="F166" s="9">
        <f t="shared" si="3"/>
        <v>513.7113337617996</v>
      </c>
      <c r="G166" s="9">
        <f t="shared" si="4"/>
        <v>1066.4587249706096</v>
      </c>
      <c r="H166" s="9">
        <f t="shared" si="5"/>
        <v>196370.97635311997</v>
      </c>
    </row>
    <row r="167" x14ac:dyDescent="0.25">
      <c r="B167" s="13">
        <f t="shared" si="0"/>
        <v>154</v>
      </c>
      <c r="C167" s="14">
        <f t="shared" si="1"/>
        <v>51044</v>
      </c>
      <c r="D167" s="9">
        <f t="shared" si="6"/>
        <v>196370.97635311997</v>
      </c>
      <c r="E167" s="9">
        <f t="shared" si="2"/>
        <v>1580.1700587324092</v>
      </c>
      <c r="F167" s="9">
        <f t="shared" si="3"/>
        <v>516.493936819676</v>
      </c>
      <c r="G167" s="9">
        <f t="shared" si="4"/>
        <v>1063.6761219127332</v>
      </c>
      <c r="H167" s="9">
        <f t="shared" si="5"/>
        <v>195854.4824163003</v>
      </c>
    </row>
    <row r="168" x14ac:dyDescent="0.25">
      <c r="B168" s="13">
        <f t="shared" si="0"/>
        <v>155</v>
      </c>
      <c r="C168" s="14">
        <f t="shared" si="1"/>
        <v>51075</v>
      </c>
      <c r="D168" s="9">
        <f t="shared" si="6"/>
        <v>195854.4824163003</v>
      </c>
      <c r="E168" s="9">
        <f t="shared" si="2"/>
        <v>1580.1700587324092</v>
      </c>
      <c r="F168" s="9">
        <f t="shared" si="3"/>
        <v>519.2916123107825</v>
      </c>
      <c r="G168" s="9">
        <f t="shared" si="4"/>
        <v>1060.8784464216267</v>
      </c>
      <c r="H168" s="9">
        <f t="shared" si="5"/>
        <v>195335.19080398954</v>
      </c>
    </row>
    <row r="169" x14ac:dyDescent="0.25">
      <c r="B169" s="13">
        <f t="shared" si="0"/>
        <v>156</v>
      </c>
      <c r="C169" s="14">
        <f t="shared" si="1"/>
        <v>51105</v>
      </c>
      <c r="D169" s="9">
        <f t="shared" si="6"/>
        <v>195335.19080398954</v>
      </c>
      <c r="E169" s="9">
        <f t="shared" si="2"/>
        <v>1580.1700587324092</v>
      </c>
      <c r="F169" s="9">
        <f t="shared" si="3"/>
        <v>522.1044418774659</v>
      </c>
      <c r="G169" s="9">
        <f t="shared" si="4"/>
        <v>1058.0656168549433</v>
      </c>
      <c r="H169" s="9">
        <f t="shared" si="5"/>
        <v>194813.08636211208</v>
      </c>
    </row>
    <row r="170" x14ac:dyDescent="0.25">
      <c r="B170" s="13">
        <f t="shared" si="0"/>
        <v>157</v>
      </c>
      <c r="C170" s="14">
        <f t="shared" si="1"/>
        <v>51136</v>
      </c>
      <c r="D170" s="9">
        <f t="shared" si="6"/>
        <v>194813.08636211208</v>
      </c>
      <c r="E170" s="9">
        <f t="shared" si="2"/>
        <v>1580.1700587324092</v>
      </c>
      <c r="F170" s="9">
        <f t="shared" si="3"/>
        <v>524.9325076043019</v>
      </c>
      <c r="G170" s="9">
        <f t="shared" si="4"/>
        <v>1055.2375511281073</v>
      </c>
      <c r="H170" s="9">
        <f t="shared" si="5"/>
        <v>194288.15385450778</v>
      </c>
    </row>
    <row r="171" x14ac:dyDescent="0.25">
      <c r="B171" s="13">
        <f t="shared" si="0"/>
        <v>158</v>
      </c>
      <c r="C171" s="14">
        <f t="shared" si="1"/>
        <v>51167</v>
      </c>
      <c r="D171" s="9">
        <f t="shared" si="6"/>
        <v>194288.15385450778</v>
      </c>
      <c r="E171" s="9">
        <f t="shared" si="2"/>
        <v>1580.1700587324092</v>
      </c>
      <c r="F171" s="9">
        <f t="shared" si="3"/>
        <v>527.7758920204919</v>
      </c>
      <c r="G171" s="9">
        <f t="shared" si="4"/>
        <v>1052.3941667119173</v>
      </c>
      <c r="H171" s="9">
        <f t="shared" si="5"/>
        <v>193760.37796248728</v>
      </c>
    </row>
    <row r="172" x14ac:dyDescent="0.25">
      <c r="B172" s="13">
        <f t="shared" si="0"/>
        <v>159</v>
      </c>
      <c r="C172" s="14">
        <f t="shared" si="1"/>
        <v>51196</v>
      </c>
      <c r="D172" s="9">
        <f t="shared" si="6"/>
        <v>193760.37796248728</v>
      </c>
      <c r="E172" s="9">
        <f t="shared" si="2"/>
        <v>1580.1700587324092</v>
      </c>
      <c r="F172" s="9">
        <f t="shared" si="3"/>
        <v>530.6346781022698</v>
      </c>
      <c r="G172" s="9">
        <f t="shared" si="4"/>
        <v>1049.5353806301393</v>
      </c>
      <c r="H172" s="9">
        <f t="shared" si="5"/>
        <v>193229.743284385</v>
      </c>
    </row>
    <row r="173" x14ac:dyDescent="0.25">
      <c r="B173" s="13">
        <f t="shared" si="0"/>
        <v>160</v>
      </c>
      <c r="C173" s="14">
        <f t="shared" si="1"/>
        <v>51227</v>
      </c>
      <c r="D173" s="9">
        <f t="shared" si="6"/>
        <v>193229.743284385</v>
      </c>
      <c r="E173" s="9">
        <f t="shared" si="2"/>
        <v>1580.1700587324092</v>
      </c>
      <c r="F173" s="9">
        <f t="shared" si="3"/>
        <v>533.5089492753236</v>
      </c>
      <c r="G173" s="9">
        <f t="shared" si="4"/>
        <v>1046.6611094570856</v>
      </c>
      <c r="H173" s="9">
        <f t="shared" si="5"/>
        <v>192696.23433510968</v>
      </c>
    </row>
    <row r="174" x14ac:dyDescent="0.25">
      <c r="B174" s="13">
        <f t="shared" si="0"/>
        <v>161</v>
      </c>
      <c r="C174" s="14">
        <f t="shared" si="1"/>
        <v>51257</v>
      </c>
      <c r="D174" s="9">
        <f t="shared" si="6"/>
        <v>192696.23433510968</v>
      </c>
      <c r="E174" s="9">
        <f t="shared" si="2"/>
        <v>1580.1700587324092</v>
      </c>
      <c r="F174" s="9">
        <f t="shared" si="3"/>
        <v>536.3987894172317</v>
      </c>
      <c r="G174" s="9">
        <f t="shared" si="4"/>
        <v>1043.7712693151775</v>
      </c>
      <c r="H174" s="9">
        <f t="shared" si="5"/>
        <v>192159.83554569245</v>
      </c>
    </row>
    <row r="175" x14ac:dyDescent="0.25">
      <c r="B175" s="13">
        <f t="shared" si="0"/>
        <v>162</v>
      </c>
      <c r="C175" s="14">
        <f t="shared" si="1"/>
        <v>51288</v>
      </c>
      <c r="D175" s="9">
        <f t="shared" si="6"/>
        <v>192159.83554569245</v>
      </c>
      <c r="E175" s="9">
        <f t="shared" si="2"/>
        <v>1580.1700587324092</v>
      </c>
      <c r="F175" s="9">
        <f t="shared" si="3"/>
        <v>539.3042828599084</v>
      </c>
      <c r="G175" s="9">
        <f t="shared" si="4"/>
        <v>1040.8657758725008</v>
      </c>
      <c r="H175" s="9">
        <f t="shared" si="5"/>
        <v>191620.53126283255</v>
      </c>
    </row>
    <row r="176" x14ac:dyDescent="0.25">
      <c r="B176" s="13">
        <f t="shared" si="0"/>
        <v>163</v>
      </c>
      <c r="C176" s="14">
        <f t="shared" si="1"/>
        <v>51318</v>
      </c>
      <c r="D176" s="9">
        <f t="shared" si="6"/>
        <v>191620.53126283255</v>
      </c>
      <c r="E176" s="9">
        <f t="shared" si="2"/>
        <v>1580.1700587324092</v>
      </c>
      <c r="F176" s="9">
        <f t="shared" si="3"/>
        <v>542.2255143920661</v>
      </c>
      <c r="G176" s="9">
        <f t="shared" si="4"/>
        <v>1037.944544340343</v>
      </c>
      <c r="H176" s="9">
        <f t="shared" si="5"/>
        <v>191078.30574844047</v>
      </c>
    </row>
    <row r="177" x14ac:dyDescent="0.25">
      <c r="B177" s="13">
        <f t="shared" si="0"/>
        <v>164</v>
      </c>
      <c r="C177" s="14">
        <f t="shared" si="1"/>
        <v>51349</v>
      </c>
      <c r="D177" s="9">
        <f t="shared" si="6"/>
        <v>191078.30574844047</v>
      </c>
      <c r="E177" s="9">
        <f t="shared" si="2"/>
        <v>1580.1700587324092</v>
      </c>
      <c r="F177" s="9">
        <f t="shared" si="3"/>
        <v>545.1625692616899</v>
      </c>
      <c r="G177" s="9">
        <f t="shared" si="4"/>
        <v>1035.0074894707193</v>
      </c>
      <c r="H177" s="9">
        <f t="shared" si="5"/>
        <v>190533.1431791788</v>
      </c>
    </row>
    <row r="178" x14ac:dyDescent="0.25">
      <c r="B178" s="13">
        <f t="shared" si="0"/>
        <v>165</v>
      </c>
      <c r="C178" s="14">
        <f t="shared" si="1"/>
        <v>51380</v>
      </c>
      <c r="D178" s="9">
        <f t="shared" si="6"/>
        <v>190533.1431791788</v>
      </c>
      <c r="E178" s="9">
        <f t="shared" si="2"/>
        <v>1580.1700587324092</v>
      </c>
      <c r="F178" s="9">
        <f t="shared" si="3"/>
        <v>548.115533178524</v>
      </c>
      <c r="G178" s="9">
        <f t="shared" si="4"/>
        <v>1032.0545255538852</v>
      </c>
      <c r="H178" s="9">
        <f t="shared" si="5"/>
        <v>189985.02764600026</v>
      </c>
    </row>
    <row r="179" x14ac:dyDescent="0.25">
      <c r="B179" s="13">
        <f t="shared" si="0"/>
        <v>166</v>
      </c>
      <c r="C179" s="14">
        <f t="shared" si="1"/>
        <v>51410</v>
      </c>
      <c r="D179" s="9">
        <f t="shared" si="6"/>
        <v>189985.02764600026</v>
      </c>
      <c r="E179" s="9">
        <f t="shared" si="2"/>
        <v>1580.1700587324092</v>
      </c>
      <c r="F179" s="9">
        <f t="shared" si="3"/>
        <v>551.0844923165744</v>
      </c>
      <c r="G179" s="9">
        <f t="shared" si="4"/>
        <v>1029.0855664158348</v>
      </c>
      <c r="H179" s="9">
        <f t="shared" si="5"/>
        <v>189433.94315368368</v>
      </c>
    </row>
    <row r="180" x14ac:dyDescent="0.25">
      <c r="B180" s="13">
        <f t="shared" si="0"/>
        <v>167</v>
      </c>
      <c r="C180" s="14">
        <f t="shared" si="1"/>
        <v>51441</v>
      </c>
      <c r="D180" s="9">
        <f t="shared" si="6"/>
        <v>189433.94315368368</v>
      </c>
      <c r="E180" s="9">
        <f t="shared" si="2"/>
        <v>1580.1700587324092</v>
      </c>
      <c r="F180" s="9">
        <f t="shared" si="3"/>
        <v>554.0695333166227</v>
      </c>
      <c r="G180" s="9">
        <f t="shared" si="4"/>
        <v>1026.1005254157865</v>
      </c>
      <c r="H180" s="9">
        <f t="shared" si="5"/>
        <v>188879.87362036706</v>
      </c>
    </row>
    <row r="181" x14ac:dyDescent="0.25">
      <c r="B181" s="13">
        <f t="shared" si="0"/>
        <v>168</v>
      </c>
      <c r="C181" s="14">
        <f t="shared" si="1"/>
        <v>51471</v>
      </c>
      <c r="D181" s="9">
        <f t="shared" si="6"/>
        <v>188879.87362036706</v>
      </c>
      <c r="E181" s="9">
        <f t="shared" si="2"/>
        <v>1580.1700587324092</v>
      </c>
      <c r="F181" s="9">
        <f t="shared" si="3"/>
        <v>557.0707432887542</v>
      </c>
      <c r="G181" s="9">
        <f t="shared" si="4"/>
        <v>1023.099315443655</v>
      </c>
      <c r="H181" s="9">
        <f t="shared" si="5"/>
        <v>188322.8028770783</v>
      </c>
    </row>
    <row r="182" x14ac:dyDescent="0.25">
      <c r="B182" s="13">
        <f t="shared" si="0"/>
        <v>169</v>
      </c>
      <c r="C182" s="14">
        <f t="shared" si="1"/>
        <v>51502</v>
      </c>
      <c r="D182" s="9">
        <f t="shared" si="6"/>
        <v>188322.8028770783</v>
      </c>
      <c r="E182" s="9">
        <f t="shared" si="2"/>
        <v>1580.1700587324092</v>
      </c>
      <c r="F182" s="9">
        <f t="shared" si="3"/>
        <v>560.0882098149017</v>
      </c>
      <c r="G182" s="9">
        <f t="shared" si="4"/>
        <v>1020.0818489175075</v>
      </c>
      <c r="H182" s="9">
        <f t="shared" si="5"/>
        <v>187762.71466726338</v>
      </c>
    </row>
    <row r="183" x14ac:dyDescent="0.25">
      <c r="B183" s="13">
        <f t="shared" si="0"/>
        <v>170</v>
      </c>
      <c r="C183" s="14">
        <f t="shared" si="1"/>
        <v>51533</v>
      </c>
      <c r="D183" s="9">
        <f t="shared" si="6"/>
        <v>187762.71466726338</v>
      </c>
      <c r="E183" s="9">
        <f t="shared" si="2"/>
        <v>1580.1700587324092</v>
      </c>
      <c r="F183" s="9">
        <f t="shared" si="3"/>
        <v>563.1220209513992</v>
      </c>
      <c r="G183" s="9">
        <f t="shared" si="4"/>
        <v>1017.04803778101</v>
      </c>
      <c r="H183" s="9">
        <f t="shared" si="5"/>
        <v>187199.592646312</v>
      </c>
    </row>
    <row r="184" x14ac:dyDescent="0.25">
      <c r="B184" s="13">
        <f t="shared" si="0"/>
        <v>171</v>
      </c>
      <c r="C184" s="14">
        <f t="shared" si="1"/>
        <v>51561</v>
      </c>
      <c r="D184" s="9">
        <f t="shared" si="6"/>
        <v>187199.592646312</v>
      </c>
      <c r="E184" s="9">
        <f t="shared" si="2"/>
        <v>1580.1700587324092</v>
      </c>
      <c r="F184" s="9">
        <f t="shared" si="3"/>
        <v>566.1722652315524</v>
      </c>
      <c r="G184" s="9">
        <f t="shared" si="4"/>
        <v>1013.9977935008568</v>
      </c>
      <c r="H184" s="9">
        <f t="shared" si="5"/>
        <v>186633.42038108045</v>
      </c>
    </row>
    <row r="185" x14ac:dyDescent="0.25">
      <c r="B185" s="13">
        <f t="shared" si="0"/>
        <v>172</v>
      </c>
      <c r="C185" s="14">
        <f t="shared" si="1"/>
        <v>51592</v>
      </c>
      <c r="D185" s="9">
        <f t="shared" si="6"/>
        <v>186633.42038108045</v>
      </c>
      <c r="E185" s="9">
        <f t="shared" si="2"/>
        <v>1580.1700587324092</v>
      </c>
      <c r="F185" s="9">
        <f t="shared" si="3"/>
        <v>569.2390316682233</v>
      </c>
      <c r="G185" s="9">
        <f t="shared" si="4"/>
        <v>1010.9310270641859</v>
      </c>
      <c r="H185" s="9">
        <f t="shared" si="5"/>
        <v>186064.18134941222</v>
      </c>
    </row>
    <row r="186" x14ac:dyDescent="0.25">
      <c r="B186" s="13">
        <f t="shared" si="0"/>
        <v>173</v>
      </c>
      <c r="C186" s="14">
        <f t="shared" si="1"/>
        <v>51622</v>
      </c>
      <c r="D186" s="9">
        <f t="shared" si="6"/>
        <v>186064.18134941222</v>
      </c>
      <c r="E186" s="9">
        <f t="shared" si="2"/>
        <v>1580.1700587324092</v>
      </c>
      <c r="F186" s="9">
        <f t="shared" si="3"/>
        <v>572.3224097564263</v>
      </c>
      <c r="G186" s="9">
        <f t="shared" si="4"/>
        <v>1007.8476489759829</v>
      </c>
      <c r="H186" s="9">
        <f t="shared" si="5"/>
        <v>185491.8589396558</v>
      </c>
    </row>
    <row r="187" x14ac:dyDescent="0.25">
      <c r="B187" s="13">
        <f t="shared" si="0"/>
        <v>174</v>
      </c>
      <c r="C187" s="14">
        <f t="shared" si="1"/>
        <v>51653</v>
      </c>
      <c r="D187" s="9">
        <f t="shared" si="6"/>
        <v>185491.8589396558</v>
      </c>
      <c r="E187" s="9">
        <f t="shared" si="2"/>
        <v>1580.1700587324092</v>
      </c>
      <c r="F187" s="9">
        <f t="shared" si="3"/>
        <v>575.4224894759402</v>
      </c>
      <c r="G187" s="9">
        <f t="shared" si="4"/>
        <v>1004.747569256469</v>
      </c>
      <c r="H187" s="9">
        <f t="shared" si="5"/>
        <v>184916.43645017984</v>
      </c>
    </row>
    <row r="188" x14ac:dyDescent="0.25">
      <c r="B188" s="13">
        <f t="shared" si="0"/>
        <v>175</v>
      </c>
      <c r="C188" s="14">
        <f t="shared" si="1"/>
        <v>51683</v>
      </c>
      <c r="D188" s="9">
        <f t="shared" si="6"/>
        <v>184916.43645017984</v>
      </c>
      <c r="E188" s="9">
        <f t="shared" si="2"/>
        <v>1580.1700587324092</v>
      </c>
      <c r="F188" s="9">
        <f t="shared" si="3"/>
        <v>578.539361293935</v>
      </c>
      <c r="G188" s="9">
        <f t="shared" si="4"/>
        <v>1001.6306974384742</v>
      </c>
      <c r="H188" s="9">
        <f t="shared" si="5"/>
        <v>184337.89708888592</v>
      </c>
    </row>
    <row r="189" x14ac:dyDescent="0.25">
      <c r="B189" s="13">
        <f t="shared" si="0"/>
        <v>176</v>
      </c>
      <c r="C189" s="14">
        <f t="shared" si="1"/>
        <v>51714</v>
      </c>
      <c r="D189" s="9">
        <f t="shared" si="6"/>
        <v>184337.89708888592</v>
      </c>
      <c r="E189" s="9">
        <f t="shared" si="2"/>
        <v>1580.1700587324092</v>
      </c>
      <c r="F189" s="9">
        <f t="shared" si="3"/>
        <v>581.6731161676105</v>
      </c>
      <c r="G189" s="9">
        <f t="shared" si="4"/>
        <v>998.4969425647987</v>
      </c>
      <c r="H189" s="9">
        <f t="shared" si="5"/>
        <v>183756.22397271832</v>
      </c>
    </row>
    <row r="190" x14ac:dyDescent="0.25">
      <c r="B190" s="13">
        <f t="shared" si="0"/>
        <v>177</v>
      </c>
      <c r="C190" s="14">
        <f t="shared" si="1"/>
        <v>51745</v>
      </c>
      <c r="D190" s="9">
        <f t="shared" si="6"/>
        <v>183756.22397271832</v>
      </c>
      <c r="E190" s="9">
        <f t="shared" si="2"/>
        <v>1580.1700587324092</v>
      </c>
      <c r="F190" s="9">
        <f t="shared" si="3"/>
        <v>584.8238455468515</v>
      </c>
      <c r="G190" s="9">
        <f t="shared" si="4"/>
        <v>995.3462131855576</v>
      </c>
      <c r="H190" s="9">
        <f t="shared" si="5"/>
        <v>183171.40012717148</v>
      </c>
    </row>
    <row r="191" x14ac:dyDescent="0.25">
      <c r="B191" s="13">
        <f t="shared" si="0"/>
        <v>178</v>
      </c>
      <c r="C191" s="14">
        <f t="shared" si="1"/>
        <v>51775</v>
      </c>
      <c r="D191" s="9">
        <f t="shared" si="6"/>
        <v>183171.40012717148</v>
      </c>
      <c r="E191" s="9">
        <f t="shared" si="2"/>
        <v>1580.1700587324092</v>
      </c>
      <c r="F191" s="9">
        <f t="shared" si="3"/>
        <v>587.9916413768971</v>
      </c>
      <c r="G191" s="9">
        <f t="shared" si="4"/>
        <v>992.1784173555121</v>
      </c>
      <c r="H191" s="9">
        <f t="shared" si="5"/>
        <v>182583.40848579459</v>
      </c>
    </row>
    <row r="192" x14ac:dyDescent="0.25">
      <c r="B192" s="13">
        <f t="shared" si="0"/>
        <v>179</v>
      </c>
      <c r="C192" s="14">
        <f t="shared" si="1"/>
        <v>51806</v>
      </c>
      <c r="D192" s="9">
        <f t="shared" si="6"/>
        <v>182583.40848579459</v>
      </c>
      <c r="E192" s="9">
        <f t="shared" si="2"/>
        <v>1580.1700587324092</v>
      </c>
      <c r="F192" s="9">
        <f t="shared" si="3"/>
        <v>591.1765961010218</v>
      </c>
      <c r="G192" s="9">
        <f t="shared" si="4"/>
        <v>988.9934626313874</v>
      </c>
      <c r="H192" s="9">
        <f t="shared" si="5"/>
        <v>181992.23188969356</v>
      </c>
    </row>
    <row r="193" x14ac:dyDescent="0.25">
      <c r="B193" s="13">
        <f t="shared" si="0"/>
        <v>180</v>
      </c>
      <c r="C193" s="14">
        <f t="shared" si="1"/>
        <v>51836</v>
      </c>
      <c r="D193" s="9">
        <f t="shared" si="6"/>
        <v>181992.23188969356</v>
      </c>
      <c r="E193" s="9">
        <f t="shared" si="2"/>
        <v>1580.1700587324092</v>
      </c>
      <c r="F193" s="9">
        <f t="shared" si="3"/>
        <v>594.3788026632357</v>
      </c>
      <c r="G193" s="9">
        <f t="shared" si="4"/>
        <v>985.7912560691735</v>
      </c>
      <c r="H193" s="9">
        <f t="shared" si="5"/>
        <v>181397.85308703032</v>
      </c>
    </row>
    <row r="194" x14ac:dyDescent="0.25">
      <c r="B194" s="13">
        <f t="shared" si="0"/>
        <v>181</v>
      </c>
      <c r="C194" s="14">
        <f t="shared" si="1"/>
        <v>51867</v>
      </c>
      <c r="D194" s="9">
        <f t="shared" si="6"/>
        <v>181397.85308703032</v>
      </c>
      <c r="E194" s="9">
        <f t="shared" si="2"/>
        <v>1580.1700587324092</v>
      </c>
      <c r="F194" s="9">
        <f t="shared" si="3"/>
        <v>597.5983545109949</v>
      </c>
      <c r="G194" s="9">
        <f t="shared" si="4"/>
        <v>982.5717042214143</v>
      </c>
      <c r="H194" s="9">
        <f t="shared" si="5"/>
        <v>180800.25473251933</v>
      </c>
    </row>
    <row r="195" x14ac:dyDescent="0.25">
      <c r="B195" s="13">
        <f t="shared" si="0"/>
        <v>182</v>
      </c>
      <c r="C195" s="14">
        <f t="shared" si="1"/>
        <v>51898</v>
      </c>
      <c r="D195" s="9">
        <f t="shared" si="6"/>
        <v>180800.25473251933</v>
      </c>
      <c r="E195" s="9">
        <f t="shared" si="2"/>
        <v>1580.1700587324092</v>
      </c>
      <c r="F195" s="9">
        <f t="shared" si="3"/>
        <v>600.8353455979294</v>
      </c>
      <c r="G195" s="9">
        <f t="shared" si="4"/>
        <v>979.3347131344798</v>
      </c>
      <c r="H195" s="9">
        <f t="shared" si="5"/>
        <v>180199.4193869214</v>
      </c>
    </row>
    <row r="196" x14ac:dyDescent="0.25">
      <c r="B196" s="13">
        <f t="shared" si="0"/>
        <v>183</v>
      </c>
      <c r="C196" s="14">
        <f t="shared" si="1"/>
        <v>51926</v>
      </c>
      <c r="D196" s="9">
        <f t="shared" si="6"/>
        <v>180199.4193869214</v>
      </c>
      <c r="E196" s="9">
        <f t="shared" si="2"/>
        <v>1580.1700587324092</v>
      </c>
      <c r="F196" s="9">
        <f t="shared" si="3"/>
        <v>604.089870386585</v>
      </c>
      <c r="G196" s="9">
        <f t="shared" si="4"/>
        <v>976.0801883458242</v>
      </c>
      <c r="H196" s="9">
        <f t="shared" si="5"/>
        <v>179595.3295165348</v>
      </c>
    </row>
    <row r="197" x14ac:dyDescent="0.25">
      <c r="B197" s="13">
        <f t="shared" si="0"/>
        <v>184</v>
      </c>
      <c r="C197" s="14">
        <f t="shared" si="1"/>
        <v>51957</v>
      </c>
      <c r="D197" s="9">
        <f t="shared" si="6"/>
        <v>179595.3295165348</v>
      </c>
      <c r="E197" s="9">
        <f t="shared" si="2"/>
        <v>1580.1700587324092</v>
      </c>
      <c r="F197" s="9">
        <f t="shared" si="3"/>
        <v>607.3620238511788</v>
      </c>
      <c r="G197" s="9">
        <f t="shared" si="4"/>
        <v>972.8080348812304</v>
      </c>
      <c r="H197" s="9">
        <f t="shared" si="5"/>
        <v>178987.96749268365</v>
      </c>
    </row>
    <row r="198" x14ac:dyDescent="0.25">
      <c r="B198" s="13">
        <f t="shared" si="0"/>
        <v>185</v>
      </c>
      <c r="C198" s="14">
        <f t="shared" si="1"/>
        <v>51987</v>
      </c>
      <c r="D198" s="9">
        <f t="shared" si="6"/>
        <v>178987.96749268365</v>
      </c>
      <c r="E198" s="9">
        <f t="shared" si="2"/>
        <v>1580.1700587324092</v>
      </c>
      <c r="F198" s="9">
        <f t="shared" si="3"/>
        <v>610.6519014803728</v>
      </c>
      <c r="G198" s="9">
        <f t="shared" si="4"/>
        <v>969.5181572520364</v>
      </c>
      <c r="H198" s="9">
        <f t="shared" si="5"/>
        <v>178377.31559120328</v>
      </c>
    </row>
    <row r="199" x14ac:dyDescent="0.25">
      <c r="B199" s="13">
        <f t="shared" si="0"/>
        <v>186</v>
      </c>
      <c r="C199" s="14">
        <f t="shared" si="1"/>
        <v>52018</v>
      </c>
      <c r="D199" s="9">
        <f t="shared" si="6"/>
        <v>178377.31559120328</v>
      </c>
      <c r="E199" s="9">
        <f t="shared" si="2"/>
        <v>1580.1700587324092</v>
      </c>
      <c r="F199" s="9">
        <f t="shared" si="3"/>
        <v>613.959599280058</v>
      </c>
      <c r="G199" s="9">
        <f t="shared" si="4"/>
        <v>966.2104594523512</v>
      </c>
      <c r="H199" s="9">
        <f t="shared" si="5"/>
        <v>177763.35599192322</v>
      </c>
    </row>
    <row r="200" x14ac:dyDescent="0.25">
      <c r="B200" s="13">
        <f t="shared" si="0"/>
        <v>187</v>
      </c>
      <c r="C200" s="14">
        <f t="shared" si="1"/>
        <v>52048</v>
      </c>
      <c r="D200" s="9">
        <f t="shared" si="6"/>
        <v>177763.35599192322</v>
      </c>
      <c r="E200" s="9">
        <f t="shared" si="2"/>
        <v>1580.1700587324092</v>
      </c>
      <c r="F200" s="9">
        <f t="shared" si="3"/>
        <v>617.2852137761585</v>
      </c>
      <c r="G200" s="9">
        <f t="shared" si="4"/>
        <v>962.8848449562507</v>
      </c>
      <c r="H200" s="9">
        <f t="shared" si="5"/>
        <v>177146.07077814706</v>
      </c>
    </row>
    <row r="201" x14ac:dyDescent="0.25">
      <c r="B201" s="13">
        <f t="shared" si="0"/>
        <v>188</v>
      </c>
      <c r="C201" s="14">
        <f t="shared" si="1"/>
        <v>52079</v>
      </c>
      <c r="D201" s="9">
        <f t="shared" si="6"/>
        <v>177146.07077814706</v>
      </c>
      <c r="E201" s="9">
        <f t="shared" si="2"/>
        <v>1580.1700587324092</v>
      </c>
      <c r="F201" s="9">
        <f t="shared" si="3"/>
        <v>620.6288420174459</v>
      </c>
      <c r="G201" s="9">
        <f t="shared" si="4"/>
        <v>959.5412167149633</v>
      </c>
      <c r="H201" s="9">
        <f t="shared" si="5"/>
        <v>176525.44193612962</v>
      </c>
    </row>
    <row r="202" x14ac:dyDescent="0.25">
      <c r="B202" s="13">
        <f t="shared" si="0"/>
        <v>189</v>
      </c>
      <c r="C202" s="14">
        <f t="shared" si="1"/>
        <v>52110</v>
      </c>
      <c r="D202" s="9">
        <f t="shared" si="6"/>
        <v>176525.44193612962</v>
      </c>
      <c r="E202" s="9">
        <f t="shared" si="2"/>
        <v>1580.1700587324092</v>
      </c>
      <c r="F202" s="9">
        <f t="shared" si="3"/>
        <v>623.9905815783737</v>
      </c>
      <c r="G202" s="9">
        <f t="shared" si="4"/>
        <v>956.1794771540355</v>
      </c>
      <c r="H202" s="9">
        <f t="shared" si="5"/>
        <v>175901.45135455125</v>
      </c>
    </row>
    <row r="203" x14ac:dyDescent="0.25">
      <c r="B203" s="13">
        <f t="shared" si="0"/>
        <v>190</v>
      </c>
      <c r="C203" s="14">
        <f t="shared" si="1"/>
        <v>52140</v>
      </c>
      <c r="D203" s="9">
        <f t="shared" si="6"/>
        <v>175901.45135455125</v>
      </c>
      <c r="E203" s="9">
        <f t="shared" si="2"/>
        <v>1580.1700587324092</v>
      </c>
      <c r="F203" s="9">
        <f t="shared" si="3"/>
        <v>627.3705305619231</v>
      </c>
      <c r="G203" s="9">
        <f t="shared" si="4"/>
        <v>952.799528170486</v>
      </c>
      <c r="H203" s="9">
        <f t="shared" si="5"/>
        <v>175274.08082398932</v>
      </c>
    </row>
    <row r="204" x14ac:dyDescent="0.25">
      <c r="B204" s="13">
        <f t="shared" si="0"/>
        <v>191</v>
      </c>
      <c r="C204" s="14">
        <f t="shared" si="1"/>
        <v>52171</v>
      </c>
      <c r="D204" s="9">
        <f t="shared" si="6"/>
        <v>175274.08082398932</v>
      </c>
      <c r="E204" s="9">
        <f t="shared" si="2"/>
        <v>1580.1700587324092</v>
      </c>
      <c r="F204" s="9">
        <f t="shared" si="3"/>
        <v>630.7687876024669</v>
      </c>
      <c r="G204" s="9">
        <f t="shared" si="4"/>
        <v>949.4012711299423</v>
      </c>
      <c r="H204" s="9">
        <f t="shared" si="5"/>
        <v>174643.31203638687</v>
      </c>
    </row>
    <row r="205" x14ac:dyDescent="0.25">
      <c r="B205" s="13">
        <f t="shared" si="0"/>
        <v>192</v>
      </c>
      <c r="C205" s="14">
        <f t="shared" si="1"/>
        <v>52201</v>
      </c>
      <c r="D205" s="9">
        <f t="shared" si="6"/>
        <v>174643.31203638687</v>
      </c>
      <c r="E205" s="9">
        <f t="shared" si="2"/>
        <v>1580.1700587324092</v>
      </c>
      <c r="F205" s="9">
        <f t="shared" si="3"/>
        <v>634.185451868647</v>
      </c>
      <c r="G205" s="9">
        <f t="shared" si="4"/>
        <v>945.9846068637622</v>
      </c>
      <c r="H205" s="9">
        <f t="shared" si="5"/>
        <v>174009.1265845182</v>
      </c>
    </row>
    <row r="206" x14ac:dyDescent="0.25">
      <c r="B206" s="13">
        <f t="shared" si="0"/>
        <v>193</v>
      </c>
      <c r="C206" s="14">
        <f t="shared" si="1"/>
        <v>52232</v>
      </c>
      <c r="D206" s="9">
        <f t="shared" si="6"/>
        <v>174009.1265845182</v>
      </c>
      <c r="E206" s="9">
        <f t="shared" si="2"/>
        <v>1580.1700587324092</v>
      </c>
      <c r="F206" s="9">
        <f t="shared" si="3"/>
        <v>637.6206230662689</v>
      </c>
      <c r="G206" s="9">
        <f t="shared" si="4"/>
        <v>942.5494356661403</v>
      </c>
      <c r="H206" s="9">
        <f t="shared" si="5"/>
        <v>173371.50596145194</v>
      </c>
    </row>
    <row r="207" x14ac:dyDescent="0.25">
      <c r="B207" s="13">
        <f t="shared" si="0"/>
        <v>194</v>
      </c>
      <c r="C207" s="14">
        <f t="shared" si="1"/>
        <v>52263</v>
      </c>
      <c r="D207" s="9">
        <f t="shared" si="6"/>
        <v>173371.50596145194</v>
      </c>
      <c r="E207" s="9">
        <f t="shared" si="2"/>
        <v>1580.1700587324092</v>
      </c>
      <c r="F207" s="9">
        <f t="shared" si="3"/>
        <v>641.0744014412111</v>
      </c>
      <c r="G207" s="9">
        <f t="shared" si="4"/>
        <v>939.0956572911981</v>
      </c>
      <c r="H207" s="9">
        <f t="shared" si="5"/>
        <v>172730.43156001074</v>
      </c>
    </row>
    <row r="208" x14ac:dyDescent="0.25">
      <c r="B208" s="13">
        <f t="shared" si="0"/>
        <v>195</v>
      </c>
      <c r="C208" s="14">
        <f t="shared" si="1"/>
        <v>52291</v>
      </c>
      <c r="D208" s="9">
        <f t="shared" si="6"/>
        <v>172730.43156001074</v>
      </c>
      <c r="E208" s="9">
        <f t="shared" si="2"/>
        <v>1580.1700587324092</v>
      </c>
      <c r="F208" s="9">
        <f t="shared" si="3"/>
        <v>644.5468877823511</v>
      </c>
      <c r="G208" s="9">
        <f t="shared" si="4"/>
        <v>935.6231709500581</v>
      </c>
      <c r="H208" s="9">
        <f t="shared" si="5"/>
        <v>172085.8846722284</v>
      </c>
    </row>
    <row r="209" x14ac:dyDescent="0.25">
      <c r="B209" s="13">
        <f t="shared" si="0"/>
        <v>196</v>
      </c>
      <c r="C209" s="14">
        <f t="shared" si="1"/>
        <v>52322</v>
      </c>
      <c r="D209" s="9">
        <f t="shared" si="6"/>
        <v>172085.8846722284</v>
      </c>
      <c r="E209" s="9">
        <f t="shared" si="2"/>
        <v>1580.1700587324092</v>
      </c>
      <c r="F209" s="9">
        <f t="shared" si="3"/>
        <v>648.0381834245053</v>
      </c>
      <c r="G209" s="9">
        <f t="shared" si="4"/>
        <v>932.1318753079039</v>
      </c>
      <c r="H209" s="9">
        <f t="shared" si="5"/>
        <v>171437.8464888039</v>
      </c>
    </row>
    <row r="210" x14ac:dyDescent="0.25">
      <c r="B210" s="13">
        <f t="shared" si="0"/>
        <v>197</v>
      </c>
      <c r="C210" s="14">
        <f t="shared" si="1"/>
        <v>52352</v>
      </c>
      <c r="D210" s="9">
        <f t="shared" si="6"/>
        <v>171437.8464888039</v>
      </c>
      <c r="E210" s="9">
        <f t="shared" si="2"/>
        <v>1580.1700587324092</v>
      </c>
      <c r="F210" s="9">
        <f t="shared" si="3"/>
        <v>651.5483902513881</v>
      </c>
      <c r="G210" s="9">
        <f t="shared" si="4"/>
        <v>928.6216684810211</v>
      </c>
      <c r="H210" s="9">
        <f t="shared" si="5"/>
        <v>170786.2980985525</v>
      </c>
    </row>
    <row r="211" x14ac:dyDescent="0.25">
      <c r="B211" s="13">
        <f t="shared" si="0"/>
        <v>198</v>
      </c>
      <c r="C211" s="14">
        <f t="shared" si="1"/>
        <v>52383</v>
      </c>
      <c r="D211" s="9">
        <f t="shared" si="6"/>
        <v>170786.2980985525</v>
      </c>
      <c r="E211" s="9">
        <f t="shared" si="2"/>
        <v>1580.1700587324092</v>
      </c>
      <c r="F211" s="9">
        <f t="shared" si="3"/>
        <v>655.077610698583</v>
      </c>
      <c r="G211" s="9">
        <f t="shared" si="4"/>
        <v>925.0924480338261</v>
      </c>
      <c r="H211" s="9">
        <f t="shared" si="5"/>
        <v>170131.22048785392</v>
      </c>
    </row>
    <row r="212" x14ac:dyDescent="0.25">
      <c r="B212" s="13">
        <f t="shared" si="0"/>
        <v>199</v>
      </c>
      <c r="C212" s="14">
        <f t="shared" si="1"/>
        <v>52413</v>
      </c>
      <c r="D212" s="9">
        <f t="shared" si="6"/>
        <v>170131.22048785392</v>
      </c>
      <c r="E212" s="9">
        <f t="shared" si="2"/>
        <v>1580.1700587324092</v>
      </c>
      <c r="F212" s="9">
        <f t="shared" si="3"/>
        <v>658.6259477565338</v>
      </c>
      <c r="G212" s="9">
        <f t="shared" si="4"/>
        <v>921.5441109758754</v>
      </c>
      <c r="H212" s="9">
        <f t="shared" si="5"/>
        <v>169472.59454009737</v>
      </c>
    </row>
    <row r="213" x14ac:dyDescent="0.25">
      <c r="B213" s="13">
        <f t="shared" si="0"/>
        <v>200</v>
      </c>
      <c r="C213" s="14">
        <f t="shared" si="1"/>
        <v>52444</v>
      </c>
      <c r="D213" s="9">
        <f t="shared" si="6"/>
        <v>169472.59454009737</v>
      </c>
      <c r="E213" s="9">
        <f t="shared" si="2"/>
        <v>1580.1700587324092</v>
      </c>
      <c r="F213" s="9">
        <f t="shared" si="3"/>
        <v>662.1935049735483</v>
      </c>
      <c r="G213" s="9">
        <f t="shared" si="4"/>
        <v>917.9765537588609</v>
      </c>
      <c r="H213" s="9">
        <f t="shared" si="5"/>
        <v>168810.40103512382</v>
      </c>
    </row>
    <row r="214" x14ac:dyDescent="0.25">
      <c r="B214" s="13">
        <f t="shared" si="0"/>
        <v>201</v>
      </c>
      <c r="C214" s="14">
        <f t="shared" si="1"/>
        <v>52475</v>
      </c>
      <c r="D214" s="9">
        <f t="shared" si="6"/>
        <v>168810.40103512382</v>
      </c>
      <c r="E214" s="9">
        <f t="shared" si="2"/>
        <v>1580.1700587324092</v>
      </c>
      <c r="F214" s="9">
        <f t="shared" si="3"/>
        <v>665.7803864588217</v>
      </c>
      <c r="G214" s="9">
        <f t="shared" si="4"/>
        <v>914.3896722735875</v>
      </c>
      <c r="H214" s="9">
        <f t="shared" si="5"/>
        <v>168144.620648665</v>
      </c>
    </row>
    <row r="215" x14ac:dyDescent="0.25">
      <c r="B215" s="13">
        <f t="shared" si="0"/>
        <v>202</v>
      </c>
      <c r="C215" s="14">
        <f t="shared" si="1"/>
        <v>52505</v>
      </c>
      <c r="D215" s="9">
        <f t="shared" si="6"/>
        <v>168144.620648665</v>
      </c>
      <c r="E215" s="9">
        <f t="shared" si="2"/>
        <v>1580.1700587324092</v>
      </c>
      <c r="F215" s="9">
        <f t="shared" si="3"/>
        <v>669.3866968854737</v>
      </c>
      <c r="G215" s="9">
        <f t="shared" si="4"/>
        <v>910.7833618469355</v>
      </c>
      <c r="H215" s="9">
        <f t="shared" si="5"/>
        <v>167475.23395177952</v>
      </c>
    </row>
    <row r="216" x14ac:dyDescent="0.25">
      <c r="B216" s="13">
        <f t="shared" si="0"/>
        <v>203</v>
      </c>
      <c r="C216" s="14">
        <f t="shared" si="1"/>
        <v>52536</v>
      </c>
      <c r="D216" s="9">
        <f t="shared" si="6"/>
        <v>167475.23395177952</v>
      </c>
      <c r="E216" s="9">
        <f t="shared" si="2"/>
        <v>1580.1700587324092</v>
      </c>
      <c r="F216" s="9">
        <f t="shared" si="3"/>
        <v>673.0125414936034</v>
      </c>
      <c r="G216" s="9">
        <f t="shared" si="4"/>
        <v>907.1575172388058</v>
      </c>
      <c r="H216" s="9">
        <f t="shared" si="5"/>
        <v>166802.2214102859</v>
      </c>
    </row>
    <row r="217" x14ac:dyDescent="0.25">
      <c r="B217" s="13">
        <f t="shared" si="0"/>
        <v>204</v>
      </c>
      <c r="C217" s="14">
        <f t="shared" si="1"/>
        <v>52566</v>
      </c>
      <c r="D217" s="9">
        <f t="shared" si="6"/>
        <v>166802.2214102859</v>
      </c>
      <c r="E217" s="9">
        <f t="shared" si="2"/>
        <v>1580.1700587324092</v>
      </c>
      <c r="F217" s="9">
        <f t="shared" si="3"/>
        <v>676.6580260933605</v>
      </c>
      <c r="G217" s="9">
        <f t="shared" si="4"/>
        <v>903.5120326390487</v>
      </c>
      <c r="H217" s="9">
        <f t="shared" si="5"/>
        <v>166125.56338419256</v>
      </c>
    </row>
    <row r="218" x14ac:dyDescent="0.25">
      <c r="B218" s="13">
        <f t="shared" si="0"/>
        <v>205</v>
      </c>
      <c r="C218" s="14">
        <f t="shared" si="1"/>
        <v>52597</v>
      </c>
      <c r="D218" s="9">
        <f t="shared" si="6"/>
        <v>166125.56338419256</v>
      </c>
      <c r="E218" s="9">
        <f t="shared" si="2"/>
        <v>1580.1700587324092</v>
      </c>
      <c r="F218" s="9">
        <f t="shared" si="3"/>
        <v>680.3232570680328</v>
      </c>
      <c r="G218" s="9">
        <f t="shared" si="4"/>
        <v>899.8468016643764</v>
      </c>
      <c r="H218" s="9">
        <f t="shared" si="5"/>
        <v>165445.24012712453</v>
      </c>
    </row>
    <row r="219" x14ac:dyDescent="0.25">
      <c r="B219" s="13">
        <f t="shared" si="0"/>
        <v>206</v>
      </c>
      <c r="C219" s="14">
        <f t="shared" si="1"/>
        <v>52628</v>
      </c>
      <c r="D219" s="9">
        <f t="shared" si="6"/>
        <v>165445.24012712453</v>
      </c>
      <c r="E219" s="9">
        <f t="shared" si="2"/>
        <v>1580.1700587324092</v>
      </c>
      <c r="F219" s="9">
        <f t="shared" si="3"/>
        <v>684.0083413771512</v>
      </c>
      <c r="G219" s="9">
        <f t="shared" si="4"/>
        <v>896.161717355258</v>
      </c>
      <c r="H219" s="9">
        <f t="shared" si="5"/>
        <v>164761.23178574737</v>
      </c>
    </row>
    <row r="220" x14ac:dyDescent="0.25">
      <c r="B220" s="13">
        <f t="shared" si="0"/>
        <v>207</v>
      </c>
      <c r="C220" s="14">
        <f t="shared" si="1"/>
        <v>52657</v>
      </c>
      <c r="D220" s="9">
        <f t="shared" si="6"/>
        <v>164761.23178574737</v>
      </c>
      <c r="E220" s="9">
        <f t="shared" si="2"/>
        <v>1580.1700587324092</v>
      </c>
      <c r="F220" s="9">
        <f t="shared" si="3"/>
        <v>687.7133865596109</v>
      </c>
      <c r="G220" s="9">
        <f t="shared" si="4"/>
        <v>892.4566721727983</v>
      </c>
      <c r="H220" s="9">
        <f t="shared" si="5"/>
        <v>164073.51839918777</v>
      </c>
    </row>
    <row r="221" x14ac:dyDescent="0.25">
      <c r="B221" s="13">
        <f t="shared" si="0"/>
        <v>208</v>
      </c>
      <c r="C221" s="14">
        <f t="shared" si="1"/>
        <v>52688</v>
      </c>
      <c r="D221" s="9">
        <f t="shared" si="6"/>
        <v>164073.51839918777</v>
      </c>
      <c r="E221" s="9">
        <f t="shared" si="2"/>
        <v>1580.1700587324092</v>
      </c>
      <c r="F221" s="9">
        <f t="shared" si="3"/>
        <v>691.4385007368088</v>
      </c>
      <c r="G221" s="9">
        <f t="shared" si="4"/>
        <v>888.7315579956004</v>
      </c>
      <c r="H221" s="9">
        <f t="shared" si="5"/>
        <v>163382.07989845096</v>
      </c>
    </row>
    <row r="222" x14ac:dyDescent="0.25">
      <c r="B222" s="13">
        <f t="shared" si="0"/>
        <v>209</v>
      </c>
      <c r="C222" s="14">
        <f t="shared" si="1"/>
        <v>52718</v>
      </c>
      <c r="D222" s="9">
        <f t="shared" si="6"/>
        <v>163382.07989845096</v>
      </c>
      <c r="E222" s="9">
        <f t="shared" si="2"/>
        <v>1580.1700587324092</v>
      </c>
      <c r="F222" s="9">
        <f t="shared" si="3"/>
        <v>695.1837926157998</v>
      </c>
      <c r="G222" s="9">
        <f t="shared" si="4"/>
        <v>884.9862661166094</v>
      </c>
      <c r="H222" s="9">
        <f t="shared" si="5"/>
        <v>162686.89610583516</v>
      </c>
    </row>
    <row r="223" x14ac:dyDescent="0.25">
      <c r="B223" s="13">
        <f t="shared" si="0"/>
        <v>210</v>
      </c>
      <c r="C223" s="14">
        <f t="shared" si="1"/>
        <v>52749</v>
      </c>
      <c r="D223" s="9">
        <f t="shared" si="6"/>
        <v>162686.89610583516</v>
      </c>
      <c r="E223" s="9">
        <f t="shared" si="2"/>
        <v>1580.1700587324092</v>
      </c>
      <c r="F223" s="9">
        <f t="shared" si="3"/>
        <v>698.9493714924687</v>
      </c>
      <c r="G223" s="9">
        <f t="shared" si="4"/>
        <v>881.2206872399405</v>
      </c>
      <c r="H223" s="9">
        <f t="shared" si="5"/>
        <v>161987.9467343427</v>
      </c>
    </row>
    <row r="224" x14ac:dyDescent="0.25">
      <c r="B224" s="13">
        <f t="shared" si="0"/>
        <v>211</v>
      </c>
      <c r="C224" s="14">
        <f t="shared" si="1"/>
        <v>52779</v>
      </c>
      <c r="D224" s="9">
        <f t="shared" si="6"/>
        <v>161987.9467343427</v>
      </c>
      <c r="E224" s="9">
        <f t="shared" si="2"/>
        <v>1580.1700587324092</v>
      </c>
      <c r="F224" s="9">
        <f t="shared" si="3"/>
        <v>702.7353472547195</v>
      </c>
      <c r="G224" s="9">
        <f t="shared" si="4"/>
        <v>877.4347114776897</v>
      </c>
      <c r="H224" s="9">
        <f t="shared" si="5"/>
        <v>161285.21138708797</v>
      </c>
    </row>
    <row r="225" x14ac:dyDescent="0.25">
      <c r="B225" s="13">
        <f t="shared" si="0"/>
        <v>212</v>
      </c>
      <c r="C225" s="14">
        <f t="shared" si="1"/>
        <v>52810</v>
      </c>
      <c r="D225" s="9">
        <f t="shared" si="6"/>
        <v>161285.21138708797</v>
      </c>
      <c r="E225" s="9">
        <f t="shared" si="2"/>
        <v>1580.1700587324092</v>
      </c>
      <c r="F225" s="9">
        <f t="shared" si="3"/>
        <v>706.5418303856826</v>
      </c>
      <c r="G225" s="9">
        <f t="shared" si="4"/>
        <v>873.6282283467266</v>
      </c>
      <c r="H225" s="9">
        <f t="shared" si="5"/>
        <v>160578.66955670228</v>
      </c>
    </row>
    <row r="226" x14ac:dyDescent="0.25">
      <c r="B226" s="13">
        <f t="shared" si="0"/>
        <v>213</v>
      </c>
      <c r="C226" s="14">
        <f t="shared" si="1"/>
        <v>52841</v>
      </c>
      <c r="D226" s="9">
        <f t="shared" si="6"/>
        <v>160578.66955670228</v>
      </c>
      <c r="E226" s="9">
        <f t="shared" si="2"/>
        <v>1580.1700587324092</v>
      </c>
      <c r="F226" s="9">
        <f t="shared" si="3"/>
        <v>710.3689319669385</v>
      </c>
      <c r="G226" s="9">
        <f t="shared" si="4"/>
        <v>869.8011267654707</v>
      </c>
      <c r="H226" s="9">
        <f t="shared" si="5"/>
        <v>159868.30062473533</v>
      </c>
    </row>
    <row r="227" x14ac:dyDescent="0.25">
      <c r="B227" s="13">
        <f t="shared" si="0"/>
        <v>214</v>
      </c>
      <c r="C227" s="14">
        <f t="shared" si="1"/>
        <v>52871</v>
      </c>
      <c r="D227" s="9">
        <f t="shared" si="6"/>
        <v>159868.30062473533</v>
      </c>
      <c r="E227" s="9">
        <f t="shared" si="2"/>
        <v>1580.1700587324092</v>
      </c>
      <c r="F227" s="9">
        <f t="shared" si="3"/>
        <v>714.2167636817595</v>
      </c>
      <c r="G227" s="9">
        <f t="shared" si="4"/>
        <v>865.9532950506497</v>
      </c>
      <c r="H227" s="9">
        <f t="shared" si="5"/>
        <v>159154.08386105357</v>
      </c>
    </row>
    <row r="228" x14ac:dyDescent="0.25">
      <c r="B228" s="13">
        <f t="shared" si="0"/>
        <v>215</v>
      </c>
      <c r="C228" s="14">
        <f t="shared" si="1"/>
        <v>52902</v>
      </c>
      <c r="D228" s="9">
        <f t="shared" si="6"/>
        <v>159154.08386105357</v>
      </c>
      <c r="E228" s="9">
        <f t="shared" si="2"/>
        <v>1580.1700587324092</v>
      </c>
      <c r="F228" s="9">
        <f t="shared" si="3"/>
        <v>718.0854378183691</v>
      </c>
      <c r="G228" s="9">
        <f t="shared" si="4"/>
        <v>862.0846209140401</v>
      </c>
      <c r="H228" s="9">
        <f t="shared" si="5"/>
        <v>158435.9984232352</v>
      </c>
    </row>
    <row r="229" x14ac:dyDescent="0.25">
      <c r="B229" s="13">
        <f t="shared" si="0"/>
        <v>216</v>
      </c>
      <c r="C229" s="14">
        <f t="shared" si="1"/>
        <v>52932</v>
      </c>
      <c r="D229" s="9">
        <f t="shared" si="6"/>
        <v>158435.9984232352</v>
      </c>
      <c r="E229" s="9">
        <f t="shared" si="2"/>
        <v>1580.1700587324092</v>
      </c>
      <c r="F229" s="9">
        <f t="shared" si="3"/>
        <v>721.9750672732185</v>
      </c>
      <c r="G229" s="9">
        <f t="shared" si="4"/>
        <v>858.1949914591906</v>
      </c>
      <c r="H229" s="9">
        <f t="shared" si="5"/>
        <v>157714.02335596198</v>
      </c>
    </row>
    <row r="230" x14ac:dyDescent="0.25">
      <c r="B230" s="13">
        <f t="shared" si="0"/>
        <v>217</v>
      </c>
      <c r="C230" s="14">
        <f t="shared" si="1"/>
        <v>52963</v>
      </c>
      <c r="D230" s="9">
        <f t="shared" si="6"/>
        <v>157714.02335596198</v>
      </c>
      <c r="E230" s="9">
        <f t="shared" si="2"/>
        <v>1580.1700587324092</v>
      </c>
      <c r="F230" s="9">
        <f t="shared" si="3"/>
        <v>725.8857655542818</v>
      </c>
      <c r="G230" s="9">
        <f t="shared" si="4"/>
        <v>854.2842931781274</v>
      </c>
      <c r="H230" s="9">
        <f t="shared" si="5"/>
        <v>156988.13759040768</v>
      </c>
    </row>
    <row r="231" x14ac:dyDescent="0.25">
      <c r="B231" s="13">
        <f t="shared" si="0"/>
        <v>218</v>
      </c>
      <c r="C231" s="14">
        <f t="shared" si="1"/>
        <v>52994</v>
      </c>
      <c r="D231" s="9">
        <f t="shared" si="6"/>
        <v>156988.13759040768</v>
      </c>
      <c r="E231" s="9">
        <f t="shared" si="2"/>
        <v>1580.1700587324092</v>
      </c>
      <c r="F231" s="9">
        <f t="shared" si="3"/>
        <v>729.8176467843675</v>
      </c>
      <c r="G231" s="9">
        <f t="shared" si="4"/>
        <v>850.3524119480417</v>
      </c>
      <c r="H231" s="9">
        <f t="shared" si="5"/>
        <v>156258.31994362333</v>
      </c>
    </row>
    <row r="232" x14ac:dyDescent="0.25">
      <c r="B232" s="13">
        <f t="shared" si="0"/>
        <v>219</v>
      </c>
      <c r="C232" s="14">
        <f t="shared" si="1"/>
        <v>53022</v>
      </c>
      <c r="D232" s="9">
        <f t="shared" si="6"/>
        <v>156258.31994362333</v>
      </c>
      <c r="E232" s="9">
        <f t="shared" si="2"/>
        <v>1580.1700587324092</v>
      </c>
      <c r="F232" s="9">
        <f t="shared" si="3"/>
        <v>733.7708257044494</v>
      </c>
      <c r="G232" s="9">
        <f t="shared" si="4"/>
        <v>846.3992330279598</v>
      </c>
      <c r="H232" s="9">
        <f t="shared" si="5"/>
        <v>155524.54911791888</v>
      </c>
    </row>
    <row r="233" x14ac:dyDescent="0.25">
      <c r="B233" s="13">
        <f t="shared" si="0"/>
        <v>220</v>
      </c>
      <c r="C233" s="14">
        <f t="shared" si="1"/>
        <v>53053</v>
      </c>
      <c r="D233" s="9">
        <f t="shared" si="6"/>
        <v>155524.54911791888</v>
      </c>
      <c r="E233" s="9">
        <f t="shared" si="2"/>
        <v>1580.1700587324092</v>
      </c>
      <c r="F233" s="9">
        <f t="shared" si="3"/>
        <v>737.7454176770151</v>
      </c>
      <c r="G233" s="9">
        <f t="shared" si="4"/>
        <v>842.4246410553941</v>
      </c>
      <c r="H233" s="9">
        <f t="shared" si="5"/>
        <v>154786.80370024187</v>
      </c>
    </row>
    <row r="234" x14ac:dyDescent="0.25">
      <c r="B234" s="13">
        <f t="shared" si="0"/>
        <v>221</v>
      </c>
      <c r="C234" s="14">
        <f t="shared" si="1"/>
        <v>53083</v>
      </c>
      <c r="D234" s="9">
        <f t="shared" si="6"/>
        <v>154786.80370024187</v>
      </c>
      <c r="E234" s="9">
        <f t="shared" si="2"/>
        <v>1580.1700587324092</v>
      </c>
      <c r="F234" s="9">
        <f t="shared" si="3"/>
        <v>741.7415386894323</v>
      </c>
      <c r="G234" s="9">
        <f t="shared" si="4"/>
        <v>838.4285200429769</v>
      </c>
      <c r="H234" s="9">
        <f t="shared" si="5"/>
        <v>154045.06216155243</v>
      </c>
    </row>
    <row r="235" x14ac:dyDescent="0.25">
      <c r="B235" s="13">
        <f t="shared" si="0"/>
        <v>222</v>
      </c>
      <c r="C235" s="14">
        <f t="shared" si="1"/>
        <v>53114</v>
      </c>
      <c r="D235" s="9">
        <f t="shared" si="6"/>
        <v>154045.06216155243</v>
      </c>
      <c r="E235" s="9">
        <f t="shared" si="2"/>
        <v>1580.1700587324092</v>
      </c>
      <c r="F235" s="9">
        <f t="shared" si="3"/>
        <v>745.7593053573335</v>
      </c>
      <c r="G235" s="9">
        <f t="shared" si="4"/>
        <v>834.4107533750757</v>
      </c>
      <c r="H235" s="9">
        <f t="shared" si="5"/>
        <v>153299.3028561951</v>
      </c>
    </row>
    <row r="236" x14ac:dyDescent="0.25">
      <c r="B236" s="13">
        <f t="shared" si="0"/>
        <v>223</v>
      </c>
      <c r="C236" s="14">
        <f t="shared" si="1"/>
        <v>53144</v>
      </c>
      <c r="D236" s="9">
        <f t="shared" si="6"/>
        <v>153299.3028561951</v>
      </c>
      <c r="E236" s="9">
        <f t="shared" si="2"/>
        <v>1580.1700587324092</v>
      </c>
      <c r="F236" s="9">
        <f t="shared" si="3"/>
        <v>749.7988349280189</v>
      </c>
      <c r="G236" s="9">
        <f t="shared" si="4"/>
        <v>830.3712238043903</v>
      </c>
      <c r="H236" s="9">
        <f t="shared" si="5"/>
        <v>152549.5040212671</v>
      </c>
    </row>
    <row r="237" x14ac:dyDescent="0.25">
      <c r="B237" s="13">
        <f t="shared" si="0"/>
        <v>224</v>
      </c>
      <c r="C237" s="14">
        <f t="shared" si="1"/>
        <v>53175</v>
      </c>
      <c r="D237" s="9">
        <f t="shared" si="6"/>
        <v>152549.5040212671</v>
      </c>
      <c r="E237" s="9">
        <f t="shared" si="2"/>
        <v>1580.1700587324092</v>
      </c>
      <c r="F237" s="9">
        <f t="shared" si="3"/>
        <v>753.8602452838792</v>
      </c>
      <c r="G237" s="9">
        <f t="shared" si="4"/>
        <v>826.30981344853</v>
      </c>
      <c r="H237" s="9">
        <f t="shared" si="5"/>
        <v>151795.64377598322</v>
      </c>
    </row>
    <row r="238" x14ac:dyDescent="0.25">
      <c r="B238" s="13">
        <f t="shared" si="0"/>
        <v>225</v>
      </c>
      <c r="C238" s="14">
        <f t="shared" si="1"/>
        <v>53206</v>
      </c>
      <c r="D238" s="9">
        <f t="shared" si="6"/>
        <v>151795.64377598322</v>
      </c>
      <c r="E238" s="9">
        <f t="shared" si="2"/>
        <v>1580.1700587324092</v>
      </c>
      <c r="F238" s="9">
        <f t="shared" si="3"/>
        <v>757.9436549458334</v>
      </c>
      <c r="G238" s="9">
        <f t="shared" si="4"/>
        <v>822.2264037865758</v>
      </c>
      <c r="H238" s="9">
        <f t="shared" si="5"/>
        <v>151037.70012103737</v>
      </c>
    </row>
    <row r="239" x14ac:dyDescent="0.25">
      <c r="B239" s="13">
        <f t="shared" si="0"/>
        <v>226</v>
      </c>
      <c r="C239" s="14">
        <f t="shared" si="1"/>
        <v>53236</v>
      </c>
      <c r="D239" s="9">
        <f t="shared" si="6"/>
        <v>151037.70012103737</v>
      </c>
      <c r="E239" s="9">
        <f t="shared" si="2"/>
        <v>1580.1700587324092</v>
      </c>
      <c r="F239" s="9">
        <f t="shared" si="3"/>
        <v>762.04918307679</v>
      </c>
      <c r="G239" s="9">
        <f t="shared" si="4"/>
        <v>818.1208756556192</v>
      </c>
      <c r="H239" s="9">
        <f t="shared" si="5"/>
        <v>150275.65093796057</v>
      </c>
    </row>
    <row r="240" x14ac:dyDescent="0.25">
      <c r="B240" s="13">
        <f t="shared" si="0"/>
        <v>227</v>
      </c>
      <c r="C240" s="14">
        <f t="shared" si="1"/>
        <v>53267</v>
      </c>
      <c r="D240" s="9">
        <f t="shared" si="6"/>
        <v>150275.65093796057</v>
      </c>
      <c r="E240" s="9">
        <f t="shared" si="2"/>
        <v>1580.1700587324092</v>
      </c>
      <c r="F240" s="9">
        <f t="shared" si="3"/>
        <v>766.1769494851227</v>
      </c>
      <c r="G240" s="9">
        <f t="shared" si="4"/>
        <v>813.9931092472865</v>
      </c>
      <c r="H240" s="9">
        <f t="shared" si="5"/>
        <v>149509.47398847545</v>
      </c>
    </row>
    <row r="241" x14ac:dyDescent="0.25">
      <c r="B241" s="13">
        <f t="shared" si="0"/>
        <v>228</v>
      </c>
      <c r="C241" s="14">
        <f t="shared" si="1"/>
        <v>53297</v>
      </c>
      <c r="D241" s="9">
        <f t="shared" si="6"/>
        <v>149509.47398847545</v>
      </c>
      <c r="E241" s="9">
        <f t="shared" si="2"/>
        <v>1580.1700587324092</v>
      </c>
      <c r="F241" s="9">
        <f t="shared" si="3"/>
        <v>770.3270746281671</v>
      </c>
      <c r="G241" s="9">
        <f t="shared" si="4"/>
        <v>809.8429841042421</v>
      </c>
      <c r="H241" s="9">
        <f t="shared" si="5"/>
        <v>148739.14691384727</v>
      </c>
    </row>
    <row r="242" x14ac:dyDescent="0.25">
      <c r="B242" s="13">
        <f t="shared" si="0"/>
        <v>229</v>
      </c>
      <c r="C242" s="14">
        <f t="shared" si="1"/>
        <v>53328</v>
      </c>
      <c r="D242" s="9">
        <f t="shared" si="6"/>
        <v>148739.14691384727</v>
      </c>
      <c r="E242" s="9">
        <f t="shared" si="2"/>
        <v>1580.1700587324092</v>
      </c>
      <c r="F242" s="9">
        <f t="shared" si="3"/>
        <v>774.4996796157365</v>
      </c>
      <c r="G242" s="9">
        <f t="shared" si="4"/>
        <v>805.6703791166727</v>
      </c>
      <c r="H242" s="9">
        <f t="shared" si="5"/>
        <v>147964.64723423152</v>
      </c>
    </row>
    <row r="243" x14ac:dyDescent="0.25">
      <c r="B243" s="13">
        <f t="shared" si="0"/>
        <v>230</v>
      </c>
      <c r="C243" s="14">
        <f t="shared" si="1"/>
        <v>53359</v>
      </c>
      <c r="D243" s="9">
        <f t="shared" si="6"/>
        <v>147964.64723423152</v>
      </c>
      <c r="E243" s="9">
        <f t="shared" si="2"/>
        <v>1580.1700587324092</v>
      </c>
      <c r="F243" s="9">
        <f t="shared" si="3"/>
        <v>778.694886213655</v>
      </c>
      <c r="G243" s="9">
        <f t="shared" si="4"/>
        <v>801.4751725187542</v>
      </c>
      <c r="H243" s="9">
        <f t="shared" si="5"/>
        <v>147185.95234801786</v>
      </c>
    </row>
    <row r="244" x14ac:dyDescent="0.25">
      <c r="B244" s="13">
        <f t="shared" si="0"/>
        <v>231</v>
      </c>
      <c r="C244" s="14">
        <f t="shared" si="1"/>
        <v>53387</v>
      </c>
      <c r="D244" s="9">
        <f t="shared" si="6"/>
        <v>147185.95234801786</v>
      </c>
      <c r="E244" s="9">
        <f t="shared" si="2"/>
        <v>1580.1700587324092</v>
      </c>
      <c r="F244" s="9">
        <f t="shared" si="3"/>
        <v>782.9128168473123</v>
      </c>
      <c r="G244" s="9">
        <f t="shared" si="4"/>
        <v>797.2572418850968</v>
      </c>
      <c r="H244" s="9">
        <f t="shared" si="5"/>
        <v>146403.03953117054</v>
      </c>
    </row>
    <row r="245" x14ac:dyDescent="0.25">
      <c r="B245" s="13">
        <f t="shared" si="0"/>
        <v>232</v>
      </c>
      <c r="C245" s="14">
        <f t="shared" si="1"/>
        <v>53418</v>
      </c>
      <c r="D245" s="9">
        <f t="shared" si="6"/>
        <v>146403.03953117054</v>
      </c>
      <c r="E245" s="9">
        <f t="shared" si="2"/>
        <v>1580.1700587324092</v>
      </c>
      <c r="F245" s="9">
        <f t="shared" si="3"/>
        <v>787.1535946052355</v>
      </c>
      <c r="G245" s="9">
        <f t="shared" si="4"/>
        <v>793.0164641271737</v>
      </c>
      <c r="H245" s="9">
        <f t="shared" si="5"/>
        <v>145615.8859365653</v>
      </c>
    </row>
    <row r="246" x14ac:dyDescent="0.25">
      <c r="B246" s="13">
        <f t="shared" si="0"/>
        <v>233</v>
      </c>
      <c r="C246" s="14">
        <f t="shared" si="1"/>
        <v>53448</v>
      </c>
      <c r="D246" s="9">
        <f t="shared" si="6"/>
        <v>145615.8859365653</v>
      </c>
      <c r="E246" s="9">
        <f t="shared" si="2"/>
        <v>1580.1700587324092</v>
      </c>
      <c r="F246" s="9">
        <f t="shared" si="3"/>
        <v>791.4173432426804</v>
      </c>
      <c r="G246" s="9">
        <f t="shared" si="4"/>
        <v>788.7527154897288</v>
      </c>
      <c r="H246" s="9">
        <f t="shared" si="5"/>
        <v>144824.4685933226</v>
      </c>
    </row>
    <row r="247" x14ac:dyDescent="0.25">
      <c r="B247" s="13">
        <f t="shared" si="0"/>
        <v>234</v>
      </c>
      <c r="C247" s="14">
        <f t="shared" si="1"/>
        <v>53479</v>
      </c>
      <c r="D247" s="9">
        <f t="shared" si="6"/>
        <v>144824.4685933226</v>
      </c>
      <c r="E247" s="9">
        <f t="shared" si="2"/>
        <v>1580.1700587324092</v>
      </c>
      <c r="F247" s="9">
        <f t="shared" si="3"/>
        <v>795.704187185245</v>
      </c>
      <c r="G247" s="9">
        <f t="shared" si="4"/>
        <v>784.4658715471642</v>
      </c>
      <c r="H247" s="9">
        <f t="shared" si="5"/>
        <v>144028.76440613737</v>
      </c>
    </row>
    <row r="248" x14ac:dyDescent="0.25">
      <c r="B248" s="13">
        <f t="shared" si="0"/>
        <v>235</v>
      </c>
      <c r="C248" s="14">
        <f t="shared" si="1"/>
        <v>53509</v>
      </c>
      <c r="D248" s="9">
        <f t="shared" si="6"/>
        <v>144028.76440613737</v>
      </c>
      <c r="E248" s="9">
        <f t="shared" si="2"/>
        <v>1580.1700587324092</v>
      </c>
      <c r="F248" s="9">
        <f t="shared" si="3"/>
        <v>800.0142515324984</v>
      </c>
      <c r="G248" s="9">
        <f t="shared" si="4"/>
        <v>780.1558071999108</v>
      </c>
      <c r="H248" s="9">
        <f t="shared" si="5"/>
        <v>143228.75015460487</v>
      </c>
    </row>
    <row r="249" x14ac:dyDescent="0.25">
      <c r="B249" s="13">
        <f t="shared" si="0"/>
        <v>236</v>
      </c>
      <c r="C249" s="14">
        <f t="shared" si="1"/>
        <v>53540</v>
      </c>
      <c r="D249" s="9">
        <f t="shared" si="6"/>
        <v>143228.75015460487</v>
      </c>
      <c r="E249" s="9">
        <f t="shared" si="2"/>
        <v>1580.1700587324092</v>
      </c>
      <c r="F249" s="9">
        <f t="shared" si="3"/>
        <v>804.3476620616327</v>
      </c>
      <c r="G249" s="9">
        <f t="shared" si="4"/>
        <v>775.8223966707765</v>
      </c>
      <c r="H249" s="9">
        <f t="shared" si="5"/>
        <v>142424.40249254325</v>
      </c>
    </row>
    <row r="250" x14ac:dyDescent="0.25">
      <c r="B250" s="13">
        <f t="shared" si="0"/>
        <v>237</v>
      </c>
      <c r="C250" s="14">
        <f t="shared" si="1"/>
        <v>53571</v>
      </c>
      <c r="D250" s="9">
        <f t="shared" si="6"/>
        <v>142424.40249254325</v>
      </c>
      <c r="E250" s="9">
        <f t="shared" si="2"/>
        <v>1580.1700587324092</v>
      </c>
      <c r="F250" s="9">
        <f t="shared" si="3"/>
        <v>808.7045452311332</v>
      </c>
      <c r="G250" s="9">
        <f t="shared" si="4"/>
        <v>771.465513501276</v>
      </c>
      <c r="H250" s="9">
        <f t="shared" si="5"/>
        <v>141615.69794731212</v>
      </c>
    </row>
    <row r="251" x14ac:dyDescent="0.25">
      <c r="B251" s="13">
        <f t="shared" si="0"/>
        <v>238</v>
      </c>
      <c r="C251" s="14">
        <f t="shared" si="1"/>
        <v>53601</v>
      </c>
      <c r="D251" s="9">
        <f t="shared" si="6"/>
        <v>141615.69794731212</v>
      </c>
      <c r="E251" s="9">
        <f t="shared" si="2"/>
        <v>1580.1700587324092</v>
      </c>
      <c r="F251" s="9">
        <f t="shared" si="3"/>
        <v>813.0850281844685</v>
      </c>
      <c r="G251" s="9">
        <f t="shared" si="4"/>
        <v>767.0850305479407</v>
      </c>
      <c r="H251" s="9">
        <f t="shared" si="5"/>
        <v>140802.61291912766</v>
      </c>
    </row>
    <row r="252" x14ac:dyDescent="0.25">
      <c r="B252" s="13">
        <f t="shared" si="0"/>
        <v>239</v>
      </c>
      <c r="C252" s="14">
        <f t="shared" si="1"/>
        <v>53632</v>
      </c>
      <c r="D252" s="9">
        <f t="shared" si="6"/>
        <v>140802.61291912766</v>
      </c>
      <c r="E252" s="9">
        <f t="shared" si="2"/>
        <v>1580.1700587324092</v>
      </c>
      <c r="F252" s="9">
        <f t="shared" si="3"/>
        <v>817.489238753801</v>
      </c>
      <c r="G252" s="9">
        <f t="shared" si="4"/>
        <v>762.6808199786082</v>
      </c>
      <c r="H252" s="9">
        <f t="shared" si="5"/>
        <v>139985.12368037386</v>
      </c>
    </row>
    <row r="253" x14ac:dyDescent="0.25">
      <c r="B253" s="13">
        <f t="shared" si="0"/>
        <v>240</v>
      </c>
      <c r="C253" s="14">
        <f t="shared" si="1"/>
        <v>53662</v>
      </c>
      <c r="D253" s="9">
        <f t="shared" si="6"/>
        <v>139985.12368037386</v>
      </c>
      <c r="E253" s="9">
        <f t="shared" si="2"/>
        <v>1580.1700587324092</v>
      </c>
      <c r="F253" s="9">
        <f t="shared" si="3"/>
        <v>821.9173054637174</v>
      </c>
      <c r="G253" s="9">
        <f t="shared" si="4"/>
        <v>758.2527532686918</v>
      </c>
      <c r="H253" s="9">
        <f t="shared" si="5"/>
        <v>139163.20637491014</v>
      </c>
    </row>
    <row r="254" x14ac:dyDescent="0.25">
      <c r="B254" s="13">
        <f t="shared" si="0"/>
        <v>241</v>
      </c>
      <c r="C254" s="14">
        <f t="shared" si="1"/>
        <v>53693</v>
      </c>
      <c r="D254" s="9">
        <f t="shared" si="6"/>
        <v>139163.20637491014</v>
      </c>
      <c r="E254" s="9">
        <f t="shared" si="2"/>
        <v>1580.1700587324092</v>
      </c>
      <c r="F254" s="9">
        <f t="shared" si="3"/>
        <v>826.3693575349793</v>
      </c>
      <c r="G254" s="9">
        <f t="shared" si="4"/>
        <v>753.8007011974299</v>
      </c>
      <c r="H254" s="9">
        <f t="shared" si="5"/>
        <v>138336.83701737516</v>
      </c>
    </row>
    <row r="255" x14ac:dyDescent="0.25">
      <c r="B255" s="13">
        <f t="shared" si="0"/>
        <v>242</v>
      </c>
      <c r="C255" s="14">
        <f t="shared" si="1"/>
        <v>53724</v>
      </c>
      <c r="D255" s="9">
        <f t="shared" si="6"/>
        <v>138336.83701737516</v>
      </c>
      <c r="E255" s="9">
        <f t="shared" si="2"/>
        <v>1580.1700587324092</v>
      </c>
      <c r="F255" s="9">
        <f t="shared" si="3"/>
        <v>830.8455248882937</v>
      </c>
      <c r="G255" s="9">
        <f t="shared" si="4"/>
        <v>749.3245338441155</v>
      </c>
      <c r="H255" s="9">
        <f t="shared" si="5"/>
        <v>137505.99149248688</v>
      </c>
    </row>
    <row r="256" x14ac:dyDescent="0.25">
      <c r="B256" s="13">
        <f t="shared" si="0"/>
        <v>243</v>
      </c>
      <c r="C256" s="14">
        <f t="shared" si="1"/>
        <v>53752</v>
      </c>
      <c r="D256" s="9">
        <f t="shared" si="6"/>
        <v>137505.99149248688</v>
      </c>
      <c r="E256" s="9">
        <f t="shared" si="2"/>
        <v>1580.1700587324092</v>
      </c>
      <c r="F256" s="9">
        <f t="shared" si="3"/>
        <v>835.3459381481053</v>
      </c>
      <c r="G256" s="9">
        <f t="shared" si="4"/>
        <v>744.8241205843038</v>
      </c>
      <c r="H256" s="9">
        <f t="shared" si="5"/>
        <v>136670.6455543388</v>
      </c>
    </row>
    <row r="257" x14ac:dyDescent="0.25">
      <c r="B257" s="13">
        <f t="shared" si="0"/>
        <v>244</v>
      </c>
      <c r="C257" s="14">
        <f t="shared" si="1"/>
        <v>53783</v>
      </c>
      <c r="D257" s="9">
        <f t="shared" si="6"/>
        <v>136670.6455543388</v>
      </c>
      <c r="E257" s="9">
        <f t="shared" si="2"/>
        <v>1580.1700587324092</v>
      </c>
      <c r="F257" s="9">
        <f t="shared" si="3"/>
        <v>839.8707286464074</v>
      </c>
      <c r="G257" s="9">
        <f t="shared" si="4"/>
        <v>740.2993300860018</v>
      </c>
      <c r="H257" s="9">
        <f t="shared" si="5"/>
        <v>135830.77482569238</v>
      </c>
    </row>
    <row r="258" x14ac:dyDescent="0.25">
      <c r="B258" s="13">
        <f t="shared" si="0"/>
        <v>245</v>
      </c>
      <c r="C258" s="14">
        <f t="shared" si="1"/>
        <v>53813</v>
      </c>
      <c r="D258" s="9">
        <f t="shared" si="6"/>
        <v>135830.77482569238</v>
      </c>
      <c r="E258" s="9">
        <f t="shared" si="2"/>
        <v>1580.1700587324092</v>
      </c>
      <c r="F258" s="9">
        <f t="shared" si="3"/>
        <v>844.4200284265754</v>
      </c>
      <c r="G258" s="9">
        <f t="shared" si="4"/>
        <v>735.7500303058338</v>
      </c>
      <c r="H258" s="9">
        <f t="shared" si="5"/>
        <v>134986.3547972658</v>
      </c>
    </row>
    <row r="259" x14ac:dyDescent="0.25">
      <c r="B259" s="13">
        <f t="shared" si="0"/>
        <v>246</v>
      </c>
      <c r="C259" s="14">
        <f t="shared" si="1"/>
        <v>53844</v>
      </c>
      <c r="D259" s="9">
        <f t="shared" si="6"/>
        <v>134986.3547972658</v>
      </c>
      <c r="E259" s="9">
        <f t="shared" si="2"/>
        <v>1580.1700587324092</v>
      </c>
      <c r="F259" s="9">
        <f t="shared" si="3"/>
        <v>848.9939702472194</v>
      </c>
      <c r="G259" s="9">
        <f t="shared" si="4"/>
        <v>731.1760884851898</v>
      </c>
      <c r="H259" s="9">
        <f t="shared" si="5"/>
        <v>134137.3608270186</v>
      </c>
    </row>
    <row r="260" x14ac:dyDescent="0.25">
      <c r="B260" s="13">
        <f t="shared" si="0"/>
        <v>247</v>
      </c>
      <c r="C260" s="14">
        <f t="shared" si="1"/>
        <v>53874</v>
      </c>
      <c r="D260" s="9">
        <f t="shared" si="6"/>
        <v>134137.3608270186</v>
      </c>
      <c r="E260" s="9">
        <f t="shared" si="2"/>
        <v>1580.1700587324092</v>
      </c>
      <c r="F260" s="9">
        <f t="shared" si="3"/>
        <v>853.5926875860584</v>
      </c>
      <c r="G260" s="9">
        <f t="shared" si="4"/>
        <v>726.5773711463507</v>
      </c>
      <c r="H260" s="9">
        <f t="shared" si="5"/>
        <v>133283.76813943253</v>
      </c>
    </row>
    <row r="261" x14ac:dyDescent="0.25">
      <c r="B261" s="13">
        <f t="shared" si="0"/>
        <v>248</v>
      </c>
      <c r="C261" s="14">
        <f t="shared" si="1"/>
        <v>53905</v>
      </c>
      <c r="D261" s="9">
        <f t="shared" si="6"/>
        <v>133283.76813943253</v>
      </c>
      <c r="E261" s="9">
        <f t="shared" si="2"/>
        <v>1580.1700587324092</v>
      </c>
      <c r="F261" s="9">
        <f t="shared" si="3"/>
        <v>858.2163146438163</v>
      </c>
      <c r="G261" s="9">
        <f t="shared" si="4"/>
        <v>721.9537440885929</v>
      </c>
      <c r="H261" s="9">
        <f t="shared" si="5"/>
        <v>132425.5518247887</v>
      </c>
    </row>
    <row r="262" x14ac:dyDescent="0.25">
      <c r="B262" s="13">
        <f t="shared" si="0"/>
        <v>249</v>
      </c>
      <c r="C262" s="14">
        <f t="shared" si="1"/>
        <v>53936</v>
      </c>
      <c r="D262" s="9">
        <f t="shared" si="6"/>
        <v>132425.5518247887</v>
      </c>
      <c r="E262" s="9">
        <f t="shared" si="2"/>
        <v>1580.1700587324092</v>
      </c>
      <c r="F262" s="9">
        <f t="shared" si="3"/>
        <v>862.864986348137</v>
      </c>
      <c r="G262" s="9">
        <f t="shared" si="4"/>
        <v>717.3050723842722</v>
      </c>
      <c r="H262" s="9">
        <f t="shared" si="5"/>
        <v>131562.68683844057</v>
      </c>
    </row>
    <row r="263" x14ac:dyDescent="0.25">
      <c r="B263" s="13">
        <f t="shared" si="0"/>
        <v>250</v>
      </c>
      <c r="C263" s="14">
        <f t="shared" si="1"/>
        <v>53966</v>
      </c>
      <c r="D263" s="9">
        <f t="shared" si="6"/>
        <v>131562.68683844057</v>
      </c>
      <c r="E263" s="9">
        <f t="shared" si="2"/>
        <v>1580.1700587324092</v>
      </c>
      <c r="F263" s="9">
        <f t="shared" si="3"/>
        <v>867.5388383575226</v>
      </c>
      <c r="G263" s="9">
        <f t="shared" si="4"/>
        <v>712.6312203748865</v>
      </c>
      <c r="H263" s="9">
        <f t="shared" si="5"/>
        <v>130695.14800008305</v>
      </c>
    </row>
    <row r="264" x14ac:dyDescent="0.25">
      <c r="B264" s="13">
        <f t="shared" si="0"/>
        <v>251</v>
      </c>
      <c r="C264" s="14">
        <f t="shared" si="1"/>
        <v>53997</v>
      </c>
      <c r="D264" s="9">
        <f t="shared" si="6"/>
        <v>130695.14800008305</v>
      </c>
      <c r="E264" s="9">
        <f t="shared" si="2"/>
        <v>1580.1700587324092</v>
      </c>
      <c r="F264" s="9">
        <f t="shared" si="3"/>
        <v>872.2380070652927</v>
      </c>
      <c r="G264" s="9">
        <f t="shared" si="4"/>
        <v>707.9320516671165</v>
      </c>
      <c r="H264" s="9">
        <f t="shared" si="5"/>
        <v>129822.90999301776</v>
      </c>
    </row>
    <row r="265" x14ac:dyDescent="0.25">
      <c r="B265" s="13">
        <f t="shared" si="0"/>
        <v>252</v>
      </c>
      <c r="C265" s="14">
        <f t="shared" si="1"/>
        <v>54027</v>
      </c>
      <c r="D265" s="9">
        <f t="shared" si="6"/>
        <v>129822.90999301776</v>
      </c>
      <c r="E265" s="9">
        <f t="shared" si="2"/>
        <v>1580.1700587324092</v>
      </c>
      <c r="F265" s="9">
        <f t="shared" si="3"/>
        <v>876.962629603563</v>
      </c>
      <c r="G265" s="9">
        <f t="shared" si="4"/>
        <v>703.2074291288462</v>
      </c>
      <c r="H265" s="9">
        <f t="shared" si="5"/>
        <v>128945.9473634142</v>
      </c>
    </row>
    <row r="266" x14ac:dyDescent="0.25">
      <c r="B266" s="13">
        <f t="shared" si="0"/>
        <v>253</v>
      </c>
      <c r="C266" s="14">
        <f t="shared" si="1"/>
        <v>54058</v>
      </c>
      <c r="D266" s="9">
        <f t="shared" si="6"/>
        <v>128945.9473634142</v>
      </c>
      <c r="E266" s="9">
        <f t="shared" si="2"/>
        <v>1580.1700587324092</v>
      </c>
      <c r="F266" s="9">
        <f t="shared" si="3"/>
        <v>881.7128438472489</v>
      </c>
      <c r="G266" s="9">
        <f t="shared" si="4"/>
        <v>698.4572148851603</v>
      </c>
      <c r="H266" s="9">
        <f t="shared" si="5"/>
        <v>128064.23451956696</v>
      </c>
    </row>
    <row r="267" x14ac:dyDescent="0.25">
      <c r="B267" s="13">
        <f t="shared" si="0"/>
        <v>254</v>
      </c>
      <c r="C267" s="14">
        <f t="shared" si="1"/>
        <v>54089</v>
      </c>
      <c r="D267" s="9">
        <f t="shared" si="6"/>
        <v>128064.23451956696</v>
      </c>
      <c r="E267" s="9">
        <f t="shared" si="2"/>
        <v>1580.1700587324092</v>
      </c>
      <c r="F267" s="9">
        <f t="shared" si="3"/>
        <v>886.4887884180881</v>
      </c>
      <c r="G267" s="9">
        <f t="shared" si="4"/>
        <v>693.6812703143211</v>
      </c>
      <c r="H267" s="9">
        <f t="shared" si="5"/>
        <v>127177.74573114887</v>
      </c>
    </row>
    <row r="268" x14ac:dyDescent="0.25">
      <c r="B268" s="13">
        <f t="shared" si="0"/>
        <v>255</v>
      </c>
      <c r="C268" s="14">
        <f t="shared" si="1"/>
        <v>54118</v>
      </c>
      <c r="D268" s="9">
        <f t="shared" si="6"/>
        <v>127177.74573114887</v>
      </c>
      <c r="E268" s="9">
        <f t="shared" si="2"/>
        <v>1580.1700587324092</v>
      </c>
      <c r="F268" s="9">
        <f t="shared" si="3"/>
        <v>891.2906026886861</v>
      </c>
      <c r="G268" s="9">
        <f t="shared" si="4"/>
        <v>688.879456043723</v>
      </c>
      <c r="H268" s="9">
        <f t="shared" si="5"/>
        <v>126286.45512846018</v>
      </c>
    </row>
    <row r="269" x14ac:dyDescent="0.25">
      <c r="B269" s="13">
        <f t="shared" si="0"/>
        <v>256</v>
      </c>
      <c r="C269" s="14">
        <f t="shared" si="1"/>
        <v>54149</v>
      </c>
      <c r="D269" s="9">
        <f t="shared" si="6"/>
        <v>126286.45512846018</v>
      </c>
      <c r="E269" s="9">
        <f t="shared" si="2"/>
        <v>1580.1700587324092</v>
      </c>
      <c r="F269" s="9">
        <f t="shared" si="3"/>
        <v>896.1184267865832</v>
      </c>
      <c r="G269" s="9">
        <f t="shared" si="4"/>
        <v>684.051631945826</v>
      </c>
      <c r="H269" s="9">
        <f t="shared" si="5"/>
        <v>125390.33670167359</v>
      </c>
    </row>
    <row r="270" x14ac:dyDescent="0.25">
      <c r="B270" s="13">
        <f t="shared" si="0"/>
        <v>257</v>
      </c>
      <c r="C270" s="14">
        <f t="shared" si="1"/>
        <v>54179</v>
      </c>
      <c r="D270" s="9">
        <f t="shared" si="6"/>
        <v>125390.33670167359</v>
      </c>
      <c r="E270" s="9">
        <f t="shared" si="2"/>
        <v>1580.1700587324092</v>
      </c>
      <c r="F270" s="9">
        <f t="shared" si="3"/>
        <v>900.9724015983439</v>
      </c>
      <c r="G270" s="9">
        <f t="shared" si="4"/>
        <v>679.1976571340653</v>
      </c>
      <c r="H270" s="9">
        <f t="shared" si="5"/>
        <v>124489.36430007525</v>
      </c>
    </row>
    <row r="271" x14ac:dyDescent="0.25">
      <c r="B271" s="13">
        <f t="shared" si="0"/>
        <v>258</v>
      </c>
      <c r="C271" s="14">
        <f t="shared" si="1"/>
        <v>54210</v>
      </c>
      <c r="D271" s="9">
        <f t="shared" si="6"/>
        <v>124489.36430007525</v>
      </c>
      <c r="E271" s="9">
        <f t="shared" si="2"/>
        <v>1580.1700587324092</v>
      </c>
      <c r="F271" s="9">
        <f t="shared" si="3"/>
        <v>905.8526687736683</v>
      </c>
      <c r="G271" s="9">
        <f t="shared" si="4"/>
        <v>674.3173899587409</v>
      </c>
      <c r="H271" s="9">
        <f t="shared" si="5"/>
        <v>123583.51163130158</v>
      </c>
    </row>
    <row r="272" x14ac:dyDescent="0.25">
      <c r="B272" s="13">
        <f t="shared" si="0"/>
        <v>259</v>
      </c>
      <c r="C272" s="14">
        <f t="shared" si="1"/>
        <v>54240</v>
      </c>
      <c r="D272" s="9">
        <f t="shared" si="6"/>
        <v>123583.51163130158</v>
      </c>
      <c r="E272" s="9">
        <f t="shared" si="2"/>
        <v>1580.1700587324092</v>
      </c>
      <c r="F272" s="9">
        <f t="shared" si="3"/>
        <v>910.7593707295256</v>
      </c>
      <c r="G272" s="9">
        <f t="shared" si="4"/>
        <v>669.4106880028836</v>
      </c>
      <c r="H272" s="9">
        <f t="shared" si="5"/>
        <v>122672.75226057204</v>
      </c>
    </row>
    <row r="273" x14ac:dyDescent="0.25">
      <c r="B273" s="13">
        <f t="shared" si="0"/>
        <v>260</v>
      </c>
      <c r="C273" s="14">
        <f t="shared" si="1"/>
        <v>54271</v>
      </c>
      <c r="D273" s="9">
        <f t="shared" si="6"/>
        <v>122672.75226057204</v>
      </c>
      <c r="E273" s="9">
        <f t="shared" si="2"/>
        <v>1580.1700587324092</v>
      </c>
      <c r="F273" s="9">
        <f t="shared" si="3"/>
        <v>915.6926506543106</v>
      </c>
      <c r="G273" s="9">
        <f t="shared" si="4"/>
        <v>664.4774080780986</v>
      </c>
      <c r="H273" s="9">
        <f t="shared" si="5"/>
        <v>121757.05960991773</v>
      </c>
    </row>
    <row r="274" x14ac:dyDescent="0.25">
      <c r="B274" s="13">
        <f t="shared" si="0"/>
        <v>261</v>
      </c>
      <c r="C274" s="14">
        <f t="shared" si="1"/>
        <v>54302</v>
      </c>
      <c r="D274" s="9">
        <f t="shared" si="6"/>
        <v>121757.05960991773</v>
      </c>
      <c r="E274" s="9">
        <f t="shared" si="2"/>
        <v>1580.1700587324092</v>
      </c>
      <c r="F274" s="9">
        <f t="shared" si="3"/>
        <v>920.6526525120214</v>
      </c>
      <c r="G274" s="9">
        <f t="shared" si="4"/>
        <v>659.5174062203878</v>
      </c>
      <c r="H274" s="9">
        <f t="shared" si="5"/>
        <v>120836.4069574057</v>
      </c>
    </row>
    <row r="275" x14ac:dyDescent="0.25">
      <c r="B275" s="13">
        <f t="shared" si="0"/>
        <v>262</v>
      </c>
      <c r="C275" s="14">
        <f t="shared" si="1"/>
        <v>54332</v>
      </c>
      <c r="D275" s="9">
        <f t="shared" si="6"/>
        <v>120836.4069574057</v>
      </c>
      <c r="E275" s="9">
        <f t="shared" si="2"/>
        <v>1580.1700587324092</v>
      </c>
      <c r="F275" s="9">
        <f t="shared" si="3"/>
        <v>925.6395210464616</v>
      </c>
      <c r="G275" s="9">
        <f t="shared" si="4"/>
        <v>654.5305376859476</v>
      </c>
      <c r="H275" s="9">
        <f t="shared" si="5"/>
        <v>119910.76743635925</v>
      </c>
    </row>
    <row r="276" x14ac:dyDescent="0.25">
      <c r="B276" s="13">
        <f t="shared" si="0"/>
        <v>263</v>
      </c>
      <c r="C276" s="14">
        <f t="shared" si="1"/>
        <v>54363</v>
      </c>
      <c r="D276" s="9">
        <f t="shared" si="6"/>
        <v>119910.76743635925</v>
      </c>
      <c r="E276" s="9">
        <f t="shared" si="2"/>
        <v>1580.1700587324092</v>
      </c>
      <c r="F276" s="9">
        <f t="shared" si="3"/>
        <v>930.6534017854632</v>
      </c>
      <c r="G276" s="9">
        <f t="shared" si="4"/>
        <v>649.516656946946</v>
      </c>
      <c r="H276" s="9">
        <f t="shared" si="5"/>
        <v>118980.1140345738</v>
      </c>
    </row>
    <row r="277" x14ac:dyDescent="0.25">
      <c r="B277" s="13">
        <f t="shared" si="0"/>
        <v>264</v>
      </c>
      <c r="C277" s="14">
        <f t="shared" si="1"/>
        <v>54393</v>
      </c>
      <c r="D277" s="9">
        <f t="shared" si="6"/>
        <v>118980.1140345738</v>
      </c>
      <c r="E277" s="9">
        <f t="shared" si="2"/>
        <v>1580.1700587324092</v>
      </c>
      <c r="F277" s="9">
        <f t="shared" si="3"/>
        <v>935.6944410451345</v>
      </c>
      <c r="G277" s="9">
        <f t="shared" si="4"/>
        <v>644.4756176872747</v>
      </c>
      <c r="H277" s="9">
        <f t="shared" si="5"/>
        <v>118044.41959352866</v>
      </c>
    </row>
    <row r="278" x14ac:dyDescent="0.25">
      <c r="B278" s="13">
        <f t="shared" si="0"/>
        <v>265</v>
      </c>
      <c r="C278" s="14">
        <f t="shared" si="1"/>
        <v>54424</v>
      </c>
      <c r="D278" s="9">
        <f t="shared" si="6"/>
        <v>118044.41959352866</v>
      </c>
      <c r="E278" s="9">
        <f t="shared" si="2"/>
        <v>1580.1700587324092</v>
      </c>
      <c r="F278" s="9">
        <f t="shared" si="3"/>
        <v>940.7627859341289</v>
      </c>
      <c r="G278" s="9">
        <f t="shared" si="4"/>
        <v>639.4072727982802</v>
      </c>
      <c r="H278" s="9">
        <f t="shared" si="5"/>
        <v>117103.65680759453</v>
      </c>
    </row>
    <row r="279" x14ac:dyDescent="0.25">
      <c r="B279" s="13">
        <f t="shared" si="0"/>
        <v>266</v>
      </c>
      <c r="C279" s="14">
        <f t="shared" si="1"/>
        <v>54455</v>
      </c>
      <c r="D279" s="9">
        <f t="shared" si="6"/>
        <v>117103.65680759453</v>
      </c>
      <c r="E279" s="9">
        <f t="shared" si="2"/>
        <v>1580.1700587324092</v>
      </c>
      <c r="F279" s="9">
        <f t="shared" si="3"/>
        <v>945.8585843579389</v>
      </c>
      <c r="G279" s="9">
        <f t="shared" si="4"/>
        <v>634.3114743744703</v>
      </c>
      <c r="H279" s="9">
        <f t="shared" si="5"/>
        <v>116157.79822323659</v>
      </c>
    </row>
    <row r="280" x14ac:dyDescent="0.25">
      <c r="B280" s="13">
        <f t="shared" si="0"/>
        <v>267</v>
      </c>
      <c r="C280" s="14">
        <f t="shared" si="1"/>
        <v>54483</v>
      </c>
      <c r="D280" s="9">
        <f t="shared" si="6"/>
        <v>116157.79822323659</v>
      </c>
      <c r="E280" s="9">
        <f t="shared" si="2"/>
        <v>1580.1700587324092</v>
      </c>
      <c r="F280" s="9">
        <f t="shared" si="3"/>
        <v>950.981985023211</v>
      </c>
      <c r="G280" s="9">
        <f t="shared" si="4"/>
        <v>629.1880737091982</v>
      </c>
      <c r="H280" s="9">
        <f t="shared" si="5"/>
        <v>115206.81623821337</v>
      </c>
    </row>
    <row r="281" x14ac:dyDescent="0.25">
      <c r="B281" s="13">
        <f t="shared" si="0"/>
        <v>268</v>
      </c>
      <c r="C281" s="14">
        <f t="shared" si="1"/>
        <v>54514</v>
      </c>
      <c r="D281" s="9">
        <f t="shared" si="6"/>
        <v>115206.81623821337</v>
      </c>
      <c r="E281" s="9">
        <f t="shared" si="2"/>
        <v>1580.1700587324092</v>
      </c>
      <c r="F281" s="9">
        <f t="shared" si="3"/>
        <v>956.1331374420866</v>
      </c>
      <c r="G281" s="9">
        <f t="shared" si="4"/>
        <v>624.0369212903225</v>
      </c>
      <c r="H281" s="9">
        <f t="shared" si="5"/>
        <v>114250.68310077129</v>
      </c>
    </row>
    <row r="282" x14ac:dyDescent="0.25">
      <c r="B282" s="13">
        <f t="shared" si="0"/>
        <v>269</v>
      </c>
      <c r="C282" s="14">
        <f t="shared" si="1"/>
        <v>54544</v>
      </c>
      <c r="D282" s="9">
        <f t="shared" si="6"/>
        <v>114250.68310077129</v>
      </c>
      <c r="E282" s="9">
        <f t="shared" si="2"/>
        <v>1580.1700587324092</v>
      </c>
      <c r="F282" s="9">
        <f t="shared" si="3"/>
        <v>961.3121919365647</v>
      </c>
      <c r="G282" s="9">
        <f t="shared" si="4"/>
        <v>618.8578667958445</v>
      </c>
      <c r="H282" s="9">
        <f t="shared" si="5"/>
        <v>113289.37090883472</v>
      </c>
    </row>
    <row r="283" x14ac:dyDescent="0.25">
      <c r="B283" s="13">
        <f t="shared" si="0"/>
        <v>270</v>
      </c>
      <c r="C283" s="14">
        <f t="shared" si="1"/>
        <v>54575</v>
      </c>
      <c r="D283" s="9">
        <f t="shared" si="6"/>
        <v>113289.37090883472</v>
      </c>
      <c r="E283" s="9">
        <f t="shared" si="2"/>
        <v>1580.1700587324092</v>
      </c>
      <c r="F283" s="9">
        <f t="shared" si="3"/>
        <v>966.5192996428877</v>
      </c>
      <c r="G283" s="9">
        <f t="shared" si="4"/>
        <v>613.6507590895214</v>
      </c>
      <c r="H283" s="9">
        <f t="shared" si="5"/>
        <v>112322.85160919184</v>
      </c>
    </row>
    <row r="284" x14ac:dyDescent="0.25">
      <c r="B284" s="13">
        <f t="shared" si="0"/>
        <v>271</v>
      </c>
      <c r="C284" s="14">
        <f t="shared" si="1"/>
        <v>54605</v>
      </c>
      <c r="D284" s="9">
        <f t="shared" si="6"/>
        <v>112322.85160919184</v>
      </c>
      <c r="E284" s="9">
        <f t="shared" si="2"/>
        <v>1580.1700587324092</v>
      </c>
      <c r="F284" s="9">
        <f t="shared" si="3"/>
        <v>971.7546125159533</v>
      </c>
      <c r="G284" s="9">
        <f t="shared" si="4"/>
        <v>608.4154462164558</v>
      </c>
      <c r="H284" s="9">
        <f t="shared" si="5"/>
        <v>111351.09699667589</v>
      </c>
    </row>
    <row r="285" x14ac:dyDescent="0.25">
      <c r="B285" s="13">
        <f t="shared" si="0"/>
        <v>272</v>
      </c>
      <c r="C285" s="14">
        <f t="shared" si="1"/>
        <v>54636</v>
      </c>
      <c r="D285" s="9">
        <f t="shared" si="6"/>
        <v>111351.09699667589</v>
      </c>
      <c r="E285" s="9">
        <f t="shared" si="2"/>
        <v>1580.1700587324092</v>
      </c>
      <c r="F285" s="9">
        <f t="shared" si="3"/>
        <v>977.0182833337482</v>
      </c>
      <c r="G285" s="9">
        <f t="shared" si="4"/>
        <v>603.151775398661</v>
      </c>
      <c r="H285" s="9">
        <f t="shared" si="5"/>
        <v>110374.07871334214</v>
      </c>
    </row>
    <row r="286" x14ac:dyDescent="0.25">
      <c r="B286" s="13">
        <f t="shared" si="0"/>
        <v>273</v>
      </c>
      <c r="C286" s="14">
        <f t="shared" si="1"/>
        <v>54667</v>
      </c>
      <c r="D286" s="9">
        <f t="shared" si="6"/>
        <v>110374.07871334214</v>
      </c>
      <c r="E286" s="9">
        <f t="shared" si="2"/>
        <v>1580.1700587324092</v>
      </c>
      <c r="F286" s="9">
        <f t="shared" si="3"/>
        <v>982.3104657018059</v>
      </c>
      <c r="G286" s="9">
        <f t="shared" si="4"/>
        <v>597.8595930306033</v>
      </c>
      <c r="H286" s="9">
        <f t="shared" si="5"/>
        <v>109391.76824764033</v>
      </c>
    </row>
    <row r="287" x14ac:dyDescent="0.25">
      <c r="B287" s="13">
        <f t="shared" si="0"/>
        <v>274</v>
      </c>
      <c r="C287" s="14">
        <f t="shared" si="1"/>
        <v>54697</v>
      </c>
      <c r="D287" s="9">
        <f t="shared" si="6"/>
        <v>109391.76824764033</v>
      </c>
      <c r="E287" s="9">
        <f t="shared" si="2"/>
        <v>1580.1700587324092</v>
      </c>
      <c r="F287" s="9">
        <f t="shared" si="3"/>
        <v>987.6313140576907</v>
      </c>
      <c r="G287" s="9">
        <f t="shared" si="4"/>
        <v>592.5387446747185</v>
      </c>
      <c r="H287" s="9">
        <f t="shared" si="5"/>
        <v>108404.13693358263</v>
      </c>
    </row>
    <row r="288" x14ac:dyDescent="0.25">
      <c r="B288" s="13">
        <f t="shared" si="0"/>
        <v>275</v>
      </c>
      <c r="C288" s="14">
        <f t="shared" si="1"/>
        <v>54728</v>
      </c>
      <c r="D288" s="9">
        <f t="shared" si="6"/>
        <v>108404.13693358263</v>
      </c>
      <c r="E288" s="9">
        <f t="shared" si="2"/>
        <v>1580.1700587324092</v>
      </c>
      <c r="F288" s="9">
        <f t="shared" si="3"/>
        <v>992.9809836755032</v>
      </c>
      <c r="G288" s="9">
        <f t="shared" si="4"/>
        <v>587.189075056906</v>
      </c>
      <c r="H288" s="9">
        <f t="shared" si="5"/>
        <v>107411.15594990713</v>
      </c>
    </row>
    <row r="289" x14ac:dyDescent="0.25">
      <c r="B289" s="13">
        <f t="shared" si="0"/>
        <v>276</v>
      </c>
      <c r="C289" s="14">
        <f t="shared" si="1"/>
        <v>54758</v>
      </c>
      <c r="D289" s="9">
        <f t="shared" si="6"/>
        <v>107411.15594990713</v>
      </c>
      <c r="E289" s="9">
        <f t="shared" si="2"/>
        <v>1580.1700587324092</v>
      </c>
      <c r="F289" s="9">
        <f t="shared" si="3"/>
        <v>998.3596306704122</v>
      </c>
      <c r="G289" s="9">
        <f t="shared" si="4"/>
        <v>581.810428061997</v>
      </c>
      <c r="H289" s="9">
        <f t="shared" si="5"/>
        <v>106412.79631923672</v>
      </c>
    </row>
    <row r="290" x14ac:dyDescent="0.25">
      <c r="B290" s="13">
        <f t="shared" si="0"/>
        <v>277</v>
      </c>
      <c r="C290" s="14">
        <f t="shared" si="1"/>
        <v>54789</v>
      </c>
      <c r="D290" s="9">
        <f t="shared" si="6"/>
        <v>106412.79631923672</v>
      </c>
      <c r="E290" s="9">
        <f t="shared" si="2"/>
        <v>1580.1700587324092</v>
      </c>
      <c r="F290" s="9">
        <f t="shared" si="3"/>
        <v>1003.7674120032103</v>
      </c>
      <c r="G290" s="9">
        <f t="shared" si="4"/>
        <v>576.4026467291989</v>
      </c>
      <c r="H290" s="9">
        <f t="shared" si="5"/>
        <v>105409.0289072335</v>
      </c>
    </row>
    <row r="291" x14ac:dyDescent="0.25">
      <c r="B291" s="13">
        <f t="shared" si="0"/>
        <v>278</v>
      </c>
      <c r="C291" s="14">
        <f t="shared" si="1"/>
        <v>54820</v>
      </c>
      <c r="D291" s="9">
        <f t="shared" si="6"/>
        <v>105409.0289072335</v>
      </c>
      <c r="E291" s="9">
        <f t="shared" si="2"/>
        <v>1580.1700587324092</v>
      </c>
      <c r="F291" s="9">
        <f t="shared" si="3"/>
        <v>1009.2044854848943</v>
      </c>
      <c r="G291" s="9">
        <f t="shared" si="4"/>
        <v>570.9655732475148</v>
      </c>
      <c r="H291" s="9">
        <f t="shared" si="5"/>
        <v>104399.8244217486</v>
      </c>
    </row>
    <row r="292" x14ac:dyDescent="0.25">
      <c r="B292" s="13">
        <f t="shared" si="0"/>
        <v>279</v>
      </c>
      <c r="C292" s="14">
        <f t="shared" si="1"/>
        <v>54848</v>
      </c>
      <c r="D292" s="9">
        <f t="shared" si="6"/>
        <v>104399.8244217486</v>
      </c>
      <c r="E292" s="9">
        <f t="shared" si="2"/>
        <v>1580.1700587324092</v>
      </c>
      <c r="F292" s="9">
        <f t="shared" si="3"/>
        <v>1014.6710097812709</v>
      </c>
      <c r="G292" s="9">
        <f t="shared" si="4"/>
        <v>565.4990489511383</v>
      </c>
      <c r="H292" s="9">
        <f t="shared" si="5"/>
        <v>103385.15341196733</v>
      </c>
    </row>
    <row r="293" x14ac:dyDescent="0.25">
      <c r="B293" s="13">
        <f t="shared" si="0"/>
        <v>280</v>
      </c>
      <c r="C293" s="14">
        <f t="shared" si="1"/>
        <v>54879</v>
      </c>
      <c r="D293" s="9">
        <f t="shared" si="6"/>
        <v>103385.15341196733</v>
      </c>
      <c r="E293" s="9">
        <f t="shared" si="2"/>
        <v>1580.1700587324092</v>
      </c>
      <c r="F293" s="9">
        <f t="shared" si="3"/>
        <v>1020.1671444175862</v>
      </c>
      <c r="G293" s="9">
        <f t="shared" si="4"/>
        <v>560.002914314823</v>
      </c>
      <c r="H293" s="9">
        <f t="shared" si="5"/>
        <v>102364.98626754974</v>
      </c>
    </row>
    <row r="294" x14ac:dyDescent="0.25">
      <c r="B294" s="13">
        <f t="shared" si="0"/>
        <v>281</v>
      </c>
      <c r="C294" s="14">
        <f t="shared" si="1"/>
        <v>54909</v>
      </c>
      <c r="D294" s="9">
        <f t="shared" si="6"/>
        <v>102364.98626754974</v>
      </c>
      <c r="E294" s="9">
        <f t="shared" si="2"/>
        <v>1580.1700587324092</v>
      </c>
      <c r="F294" s="9">
        <f t="shared" si="3"/>
        <v>1025.6930497831813</v>
      </c>
      <c r="G294" s="9">
        <f t="shared" si="4"/>
        <v>554.4770089492278</v>
      </c>
      <c r="H294" s="9">
        <f t="shared" si="5"/>
        <v>101339.29321776656</v>
      </c>
    </row>
    <row r="295" x14ac:dyDescent="0.25">
      <c r="B295" s="13">
        <f t="shared" si="0"/>
        <v>282</v>
      </c>
      <c r="C295" s="14">
        <f t="shared" si="1"/>
        <v>54940</v>
      </c>
      <c r="D295" s="9">
        <f t="shared" si="6"/>
        <v>101339.29321776656</v>
      </c>
      <c r="E295" s="9">
        <f t="shared" si="2"/>
        <v>1580.1700587324092</v>
      </c>
      <c r="F295" s="9">
        <f t="shared" si="3"/>
        <v>1031.2488871361736</v>
      </c>
      <c r="G295" s="9">
        <f t="shared" si="4"/>
        <v>548.9211715962356</v>
      </c>
      <c r="H295" s="9">
        <f t="shared" si="5"/>
        <v>100308.0443306304</v>
      </c>
    </row>
    <row r="296" x14ac:dyDescent="0.25">
      <c r="B296" s="13">
        <f t="shared" si="0"/>
        <v>283</v>
      </c>
      <c r="C296" s="14">
        <f t="shared" si="1"/>
        <v>54970</v>
      </c>
      <c r="D296" s="9">
        <f t="shared" si="6"/>
        <v>100308.0443306304</v>
      </c>
      <c r="E296" s="9">
        <f t="shared" si="2"/>
        <v>1580.1700587324092</v>
      </c>
      <c r="F296" s="9">
        <f t="shared" si="3"/>
        <v>1036.8348186081612</v>
      </c>
      <c r="G296" s="9">
        <f t="shared" si="4"/>
        <v>543.335240124248</v>
      </c>
      <c r="H296" s="9">
        <f t="shared" si="5"/>
        <v>99271.20951202224</v>
      </c>
    </row>
    <row r="297" x14ac:dyDescent="0.25">
      <c r="B297" s="13">
        <f t="shared" si="0"/>
        <v>284</v>
      </c>
      <c r="C297" s="14">
        <f t="shared" si="1"/>
        <v>55001</v>
      </c>
      <c r="D297" s="9">
        <f t="shared" si="6"/>
        <v>99271.20951202224</v>
      </c>
      <c r="E297" s="9">
        <f t="shared" si="2"/>
        <v>1580.1700587324092</v>
      </c>
      <c r="F297" s="9">
        <f t="shared" si="3"/>
        <v>1042.4510072089554</v>
      </c>
      <c r="G297" s="9">
        <f t="shared" si="4"/>
        <v>537.7190515234538</v>
      </c>
      <c r="H297" s="9">
        <f t="shared" si="5"/>
        <v>98228.75850481328</v>
      </c>
    </row>
    <row r="298" x14ac:dyDescent="0.25">
      <c r="B298" s="13">
        <f t="shared" si="0"/>
        <v>285</v>
      </c>
      <c r="C298" s="14">
        <f t="shared" si="1"/>
        <v>55032</v>
      </c>
      <c r="D298" s="9">
        <f t="shared" si="6"/>
        <v>98228.75850481328</v>
      </c>
      <c r="E298" s="9">
        <f t="shared" si="2"/>
        <v>1580.1700587324092</v>
      </c>
      <c r="F298" s="9">
        <f t="shared" si="3"/>
        <v>1048.0976168313373</v>
      </c>
      <c r="G298" s="9">
        <f t="shared" si="4"/>
        <v>532.0724419010719</v>
      </c>
      <c r="H298" s="9">
        <f t="shared" si="5"/>
        <v>97180.66088798194</v>
      </c>
    </row>
    <row r="299" x14ac:dyDescent="0.25">
      <c r="B299" s="13">
        <f t="shared" si="0"/>
        <v>286</v>
      </c>
      <c r="C299" s="14">
        <f t="shared" si="1"/>
        <v>55062</v>
      </c>
      <c r="D299" s="9">
        <f t="shared" si="6"/>
        <v>97180.66088798194</v>
      </c>
      <c r="E299" s="9">
        <f t="shared" si="2"/>
        <v>1580.1700587324092</v>
      </c>
      <c r="F299" s="9">
        <f t="shared" si="3"/>
        <v>1053.7748122558405</v>
      </c>
      <c r="G299" s="9">
        <f t="shared" si="4"/>
        <v>526.3952464765688</v>
      </c>
      <c r="H299" s="9">
        <f t="shared" si="5"/>
        <v>96126.8860757261</v>
      </c>
    </row>
    <row r="300" x14ac:dyDescent="0.25">
      <c r="B300" s="13">
        <f t="shared" si="0"/>
        <v>287</v>
      </c>
      <c r="C300" s="14">
        <f t="shared" si="1"/>
        <v>55093</v>
      </c>
      <c r="D300" s="9">
        <f t="shared" si="6"/>
        <v>96126.8860757261</v>
      </c>
      <c r="E300" s="9">
        <f t="shared" si="2"/>
        <v>1580.1700587324092</v>
      </c>
      <c r="F300" s="9">
        <f t="shared" si="3"/>
        <v>1059.4827591555595</v>
      </c>
      <c r="G300" s="9">
        <f t="shared" si="4"/>
        <v>520.6872995768498</v>
      </c>
      <c r="H300" s="9">
        <f t="shared" si="5"/>
        <v>95067.40331657053</v>
      </c>
    </row>
    <row r="301" x14ac:dyDescent="0.25">
      <c r="B301" s="13">
        <f t="shared" si="0"/>
        <v>288</v>
      </c>
      <c r="C301" s="14">
        <f t="shared" si="1"/>
        <v>55123</v>
      </c>
      <c r="D301" s="9">
        <f t="shared" si="6"/>
        <v>95067.40331657053</v>
      </c>
      <c r="E301" s="9">
        <f t="shared" si="2"/>
        <v>1580.1700587324092</v>
      </c>
      <c r="F301" s="9">
        <f t="shared" si="3"/>
        <v>1065.2216241009855</v>
      </c>
      <c r="G301" s="9">
        <f t="shared" si="4"/>
        <v>514.9484346314238</v>
      </c>
      <c r="H301" s="9">
        <f t="shared" si="5"/>
        <v>94002.18169246954</v>
      </c>
    </row>
    <row r="302" x14ac:dyDescent="0.25">
      <c r="B302" s="13">
        <f t="shared" si="0"/>
        <v>289</v>
      </c>
      <c r="C302" s="14">
        <f t="shared" si="1"/>
        <v>55154</v>
      </c>
      <c r="D302" s="9">
        <f t="shared" si="6"/>
        <v>94002.18169246954</v>
      </c>
      <c r="E302" s="9">
        <f t="shared" si="2"/>
        <v>1580.1700587324092</v>
      </c>
      <c r="F302" s="9">
        <f t="shared" si="3"/>
        <v>1070.991574564866</v>
      </c>
      <c r="G302" s="9">
        <f t="shared" si="4"/>
        <v>509.17848416754333</v>
      </c>
      <c r="H302" s="9">
        <f t="shared" si="5"/>
        <v>92931.19011790468</v>
      </c>
    </row>
    <row r="303" x14ac:dyDescent="0.25">
      <c r="B303" s="13">
        <f t="shared" si="0"/>
        <v>290</v>
      </c>
      <c r="C303" s="14">
        <f t="shared" si="1"/>
        <v>55185</v>
      </c>
      <c r="D303" s="9">
        <f t="shared" si="6"/>
        <v>92931.19011790468</v>
      </c>
      <c r="E303" s="9">
        <f t="shared" si="2"/>
        <v>1580.1700587324092</v>
      </c>
      <c r="F303" s="9">
        <f t="shared" si="3"/>
        <v>1076.792778927092</v>
      </c>
      <c r="G303" s="9">
        <f t="shared" si="4"/>
        <v>503.3772798053171</v>
      </c>
      <c r="H303" s="9">
        <f t="shared" si="5"/>
        <v>91854.3973389776</v>
      </c>
    </row>
    <row r="304" x14ac:dyDescent="0.25">
      <c r="B304" s="13">
        <f t="shared" si="0"/>
        <v>291</v>
      </c>
      <c r="C304" s="14">
        <f t="shared" si="1"/>
        <v>55213</v>
      </c>
      <c r="D304" s="9">
        <f t="shared" si="6"/>
        <v>91854.3973389776</v>
      </c>
      <c r="E304" s="9">
        <f t="shared" si="2"/>
        <v>1580.1700587324092</v>
      </c>
      <c r="F304" s="9">
        <f t="shared" si="3"/>
        <v>1082.625406479614</v>
      </c>
      <c r="G304" s="9">
        <f t="shared" si="4"/>
        <v>497.5446522527953</v>
      </c>
      <c r="H304" s="9">
        <f t="shared" si="5"/>
        <v>90771.77193249798</v>
      </c>
    </row>
    <row r="305" x14ac:dyDescent="0.25">
      <c r="B305" s="13">
        <f t="shared" si="0"/>
        <v>292</v>
      </c>
      <c r="C305" s="14">
        <f t="shared" si="1"/>
        <v>55244</v>
      </c>
      <c r="D305" s="9">
        <f t="shared" si="6"/>
        <v>90771.77193249798</v>
      </c>
      <c r="E305" s="9">
        <f t="shared" si="2"/>
        <v>1580.1700587324092</v>
      </c>
      <c r="F305" s="9">
        <f t="shared" si="3"/>
        <v>1088.4896274313785</v>
      </c>
      <c r="G305" s="9">
        <f t="shared" si="4"/>
        <v>491.68043130103075</v>
      </c>
      <c r="H305" s="9">
        <f t="shared" si="5"/>
        <v>89683.2823050666</v>
      </c>
    </row>
    <row r="306" x14ac:dyDescent="0.25">
      <c r="B306" s="13">
        <f t="shared" si="0"/>
        <v>293</v>
      </c>
      <c r="C306" s="14">
        <f t="shared" si="1"/>
        <v>55274</v>
      </c>
      <c r="D306" s="9">
        <f t="shared" si="6"/>
        <v>89683.2823050666</v>
      </c>
      <c r="E306" s="9">
        <f t="shared" si="2"/>
        <v>1580.1700587324092</v>
      </c>
      <c r="F306" s="9">
        <f t="shared" si="3"/>
        <v>1094.3856129132985</v>
      </c>
      <c r="G306" s="9">
        <f t="shared" si="4"/>
        <v>485.7844458191108</v>
      </c>
      <c r="H306" s="9">
        <f t="shared" si="5"/>
        <v>88588.8966921533</v>
      </c>
    </row>
    <row r="307" x14ac:dyDescent="0.25">
      <c r="B307" s="13">
        <f t="shared" si="0"/>
        <v>294</v>
      </c>
      <c r="C307" s="14">
        <f t="shared" si="1"/>
        <v>55305</v>
      </c>
      <c r="D307" s="9">
        <f t="shared" si="6"/>
        <v>88588.8966921533</v>
      </c>
      <c r="E307" s="9">
        <f t="shared" si="2"/>
        <v>1580.1700587324092</v>
      </c>
      <c r="F307" s="9">
        <f t="shared" si="3"/>
        <v>1100.3135349832455</v>
      </c>
      <c r="G307" s="9">
        <f t="shared" si="4"/>
        <v>479.8565237491637</v>
      </c>
      <c r="H307" s="9">
        <f t="shared" si="5"/>
        <v>87488.58315717005</v>
      </c>
    </row>
    <row r="308" x14ac:dyDescent="0.25">
      <c r="B308" s="13">
        <f t="shared" si="0"/>
        <v>295</v>
      </c>
      <c r="C308" s="14">
        <f t="shared" si="1"/>
        <v>55335</v>
      </c>
      <c r="D308" s="9">
        <f t="shared" si="6"/>
        <v>87488.58315717005</v>
      </c>
      <c r="E308" s="9">
        <f t="shared" si="2"/>
        <v>1580.1700587324092</v>
      </c>
      <c r="F308" s="9">
        <f t="shared" si="3"/>
        <v>1106.2735666310714</v>
      </c>
      <c r="G308" s="9">
        <f t="shared" si="4"/>
        <v>473.8964921013378</v>
      </c>
      <c r="H308" s="9">
        <f t="shared" si="5"/>
        <v>86382.30959053898</v>
      </c>
    </row>
    <row r="309" x14ac:dyDescent="0.25">
      <c r="B309" s="13">
        <f t="shared" si="0"/>
        <v>296</v>
      </c>
      <c r="C309" s="14">
        <f t="shared" si="1"/>
        <v>55366</v>
      </c>
      <c r="D309" s="9">
        <f t="shared" si="6"/>
        <v>86382.30959053898</v>
      </c>
      <c r="E309" s="9">
        <f t="shared" si="2"/>
        <v>1580.1700587324092</v>
      </c>
      <c r="F309" s="9">
        <f t="shared" si="3"/>
        <v>1112.2658817836564</v>
      </c>
      <c r="G309" s="9">
        <f t="shared" si="4"/>
        <v>467.9041769487528</v>
      </c>
      <c r="H309" s="9">
        <f t="shared" si="5"/>
        <v>85270.04370875531</v>
      </c>
    </row>
    <row r="310" x14ac:dyDescent="0.25">
      <c r="B310" s="13">
        <f t="shared" si="0"/>
        <v>297</v>
      </c>
      <c r="C310" s="14">
        <f t="shared" si="1"/>
        <v>55397</v>
      </c>
      <c r="D310" s="9">
        <f t="shared" si="6"/>
        <v>85270.04370875531</v>
      </c>
      <c r="E310" s="9">
        <f t="shared" si="2"/>
        <v>1580.1700587324092</v>
      </c>
      <c r="F310" s="9">
        <f t="shared" si="3"/>
        <v>1118.2906553099845</v>
      </c>
      <c r="G310" s="9">
        <f t="shared" si="4"/>
        <v>461.8794034224247</v>
      </c>
      <c r="H310" s="9">
        <f t="shared" si="5"/>
        <v>84151.75305344533</v>
      </c>
    </row>
    <row r="311" x14ac:dyDescent="0.25">
      <c r="B311" s="13">
        <f t="shared" si="0"/>
        <v>298</v>
      </c>
      <c r="C311" s="14">
        <f t="shared" si="1"/>
        <v>55427</v>
      </c>
      <c r="D311" s="9">
        <f t="shared" si="6"/>
        <v>84151.75305344533</v>
      </c>
      <c r="E311" s="9">
        <f t="shared" si="2"/>
        <v>1580.1700587324092</v>
      </c>
      <c r="F311" s="9">
        <f t="shared" si="3"/>
        <v>1124.348063026247</v>
      </c>
      <c r="G311" s="9">
        <f t="shared" si="4"/>
        <v>455.82199570616217</v>
      </c>
      <c r="H311" s="9">
        <f t="shared" si="5"/>
        <v>83027.40499041908</v>
      </c>
    </row>
    <row r="312" x14ac:dyDescent="0.25">
      <c r="B312" s="13">
        <f t="shared" si="0"/>
        <v>299</v>
      </c>
      <c r="C312" s="14">
        <f t="shared" si="1"/>
        <v>55458</v>
      </c>
      <c r="D312" s="9">
        <f t="shared" si="6"/>
        <v>83027.40499041908</v>
      </c>
      <c r="E312" s="9">
        <f t="shared" si="2"/>
        <v>1580.1700587324092</v>
      </c>
      <c r="F312" s="9">
        <f t="shared" si="3"/>
        <v>1130.4382817009725</v>
      </c>
      <c r="G312" s="9">
        <f t="shared" si="4"/>
        <v>449.73177703143665</v>
      </c>
      <c r="H312" s="9">
        <f t="shared" si="5"/>
        <v>81896.9667087181</v>
      </c>
    </row>
    <row r="313" x14ac:dyDescent="0.25">
      <c r="B313" s="13">
        <f t="shared" si="0"/>
        <v>300</v>
      </c>
      <c r="C313" s="14">
        <f t="shared" si="1"/>
        <v>55488</v>
      </c>
      <c r="D313" s="9">
        <f t="shared" si="6"/>
        <v>81896.9667087181</v>
      </c>
      <c r="E313" s="9">
        <f t="shared" si="2"/>
        <v>1580.1700587324092</v>
      </c>
      <c r="F313" s="9">
        <f t="shared" si="3"/>
        <v>1136.5614890601862</v>
      </c>
      <c r="G313" s="9">
        <f t="shared" si="4"/>
        <v>443.60856967222304</v>
      </c>
      <c r="H313" s="9">
        <f t="shared" si="5"/>
        <v>80760.40521965791</v>
      </c>
    </row>
    <row r="314" x14ac:dyDescent="0.25">
      <c r="B314" s="13">
        <f t="shared" si="0"/>
        <v>301</v>
      </c>
      <c r="C314" s="14">
        <f t="shared" si="1"/>
        <v>55519</v>
      </c>
      <c r="D314" s="9">
        <f t="shared" si="6"/>
        <v>80760.40521965791</v>
      </c>
      <c r="E314" s="9">
        <f t="shared" si="2"/>
        <v>1580.1700587324092</v>
      </c>
      <c r="F314" s="9">
        <f t="shared" si="3"/>
        <v>1142.7178637925954</v>
      </c>
      <c r="G314" s="9">
        <f t="shared" si="4"/>
        <v>437.45219493981375</v>
      </c>
      <c r="H314" s="9">
        <f t="shared" si="5"/>
        <v>79617.68735586532</v>
      </c>
    </row>
    <row r="315" x14ac:dyDescent="0.25">
      <c r="B315" s="13">
        <f t="shared" si="0"/>
        <v>302</v>
      </c>
      <c r="C315" s="14">
        <f t="shared" si="1"/>
        <v>55550</v>
      </c>
      <c r="D315" s="9">
        <f t="shared" si="6"/>
        <v>79617.68735586532</v>
      </c>
      <c r="E315" s="9">
        <f t="shared" si="2"/>
        <v>1580.1700587324092</v>
      </c>
      <c r="F315" s="9">
        <f t="shared" si="3"/>
        <v>1148.9075855548053</v>
      </c>
      <c r="G315" s="9">
        <f t="shared" si="4"/>
        <v>431.26247317760385</v>
      </c>
      <c r="H315" s="9">
        <f t="shared" si="5"/>
        <v>78468.77977031052</v>
      </c>
    </row>
    <row r="316" x14ac:dyDescent="0.25">
      <c r="B316" s="13">
        <f t="shared" si="0"/>
        <v>303</v>
      </c>
      <c r="C316" s="14">
        <f t="shared" si="1"/>
        <v>55579</v>
      </c>
      <c r="D316" s="9">
        <f t="shared" si="6"/>
        <v>78468.77977031052</v>
      </c>
      <c r="E316" s="9">
        <f t="shared" si="2"/>
        <v>1580.1700587324092</v>
      </c>
      <c r="F316" s="9">
        <f t="shared" si="3"/>
        <v>1155.1308349765604</v>
      </c>
      <c r="G316" s="9">
        <f t="shared" si="4"/>
        <v>425.0392237558487</v>
      </c>
      <c r="H316" s="9">
        <f t="shared" si="5"/>
        <v>77313.64893533396</v>
      </c>
    </row>
    <row r="317" x14ac:dyDescent="0.25">
      <c r="B317" s="13">
        <f t="shared" si="0"/>
        <v>304</v>
      </c>
      <c r="C317" s="14">
        <f t="shared" si="1"/>
        <v>55610</v>
      </c>
      <c r="D317" s="9">
        <f t="shared" si="6"/>
        <v>77313.64893533396</v>
      </c>
      <c r="E317" s="9">
        <f t="shared" si="2"/>
        <v>1580.1700587324092</v>
      </c>
      <c r="F317" s="9">
        <f t="shared" si="3"/>
        <v>1161.387793666017</v>
      </c>
      <c r="G317" s="9">
        <f t="shared" si="4"/>
        <v>418.78226506639226</v>
      </c>
      <c r="H317" s="9">
        <f t="shared" si="5"/>
        <v>76152.26114166794</v>
      </c>
    </row>
    <row r="318" x14ac:dyDescent="0.25">
      <c r="B318" s="13">
        <f t="shared" si="0"/>
        <v>305</v>
      </c>
      <c r="C318" s="14">
        <f t="shared" si="1"/>
        <v>55640</v>
      </c>
      <c r="D318" s="9">
        <f t="shared" si="6"/>
        <v>76152.26114166794</v>
      </c>
      <c r="E318" s="9">
        <f t="shared" si="2"/>
        <v>1580.1700587324092</v>
      </c>
      <c r="F318" s="9">
        <f t="shared" si="3"/>
        <v>1167.6786442150412</v>
      </c>
      <c r="G318" s="9">
        <f t="shared" si="4"/>
        <v>412.491414517368</v>
      </c>
      <c r="H318" s="9">
        <f t="shared" si="5"/>
        <v>74984.5824974529</v>
      </c>
    </row>
    <row r="319" x14ac:dyDescent="0.25">
      <c r="B319" s="13">
        <f t="shared" si="0"/>
        <v>306</v>
      </c>
      <c r="C319" s="14">
        <f t="shared" si="1"/>
        <v>55671</v>
      </c>
      <c r="D319" s="9">
        <f t="shared" si="6"/>
        <v>74984.5824974529</v>
      </c>
      <c r="E319" s="9">
        <f t="shared" si="2"/>
        <v>1580.1700587324092</v>
      </c>
      <c r="F319" s="9">
        <f t="shared" si="3"/>
        <v>1174.0035702045393</v>
      </c>
      <c r="G319" s="9">
        <f t="shared" si="4"/>
        <v>406.1664885278699</v>
      </c>
      <c r="H319" s="9">
        <f t="shared" si="5"/>
        <v>73810.57892724835</v>
      </c>
    </row>
    <row r="320" x14ac:dyDescent="0.25">
      <c r="B320" s="13">
        <f t="shared" si="0"/>
        <v>307</v>
      </c>
      <c r="C320" s="14">
        <f t="shared" si="1"/>
        <v>55701</v>
      </c>
      <c r="D320" s="9">
        <f t="shared" si="6"/>
        <v>73810.57892724835</v>
      </c>
      <c r="E320" s="9">
        <f t="shared" si="2"/>
        <v>1580.1700587324092</v>
      </c>
      <c r="F320" s="9">
        <f t="shared" si="3"/>
        <v>1180.3627562098138</v>
      </c>
      <c r="G320" s="9">
        <f t="shared" si="4"/>
        <v>399.8073025225953</v>
      </c>
      <c r="H320" s="9">
        <f t="shared" si="5"/>
        <v>72630.21617103854</v>
      </c>
    </row>
    <row r="321" x14ac:dyDescent="0.25">
      <c r="B321" s="13">
        <f t="shared" si="0"/>
        <v>308</v>
      </c>
      <c r="C321" s="14">
        <f t="shared" si="1"/>
        <v>55732</v>
      </c>
      <c r="D321" s="9">
        <f t="shared" si="6"/>
        <v>72630.21617103854</v>
      </c>
      <c r="E321" s="9">
        <f t="shared" si="2"/>
        <v>1580.1700587324092</v>
      </c>
      <c r="F321" s="9">
        <f t="shared" si="3"/>
        <v>1186.7563878059505</v>
      </c>
      <c r="G321" s="9">
        <f t="shared" si="4"/>
        <v>393.4136709264588</v>
      </c>
      <c r="H321" s="9">
        <f t="shared" si="5"/>
        <v>71443.4597832326</v>
      </c>
    </row>
    <row r="322" x14ac:dyDescent="0.25">
      <c r="B322" s="13">
        <f t="shared" si="0"/>
        <v>309</v>
      </c>
      <c r="C322" s="14">
        <f t="shared" si="1"/>
        <v>55763</v>
      </c>
      <c r="D322" s="9">
        <f t="shared" si="6"/>
        <v>71443.4597832326</v>
      </c>
      <c r="E322" s="9">
        <f t="shared" si="2"/>
        <v>1580.1700587324092</v>
      </c>
      <c r="F322" s="9">
        <f t="shared" si="3"/>
        <v>1193.1846515732327</v>
      </c>
      <c r="G322" s="9">
        <f t="shared" si="4"/>
        <v>386.98540715917653</v>
      </c>
      <c r="H322" s="9">
        <f t="shared" si="5"/>
        <v>70250.27513165936</v>
      </c>
    </row>
    <row r="323" x14ac:dyDescent="0.25">
      <c r="B323" s="13">
        <f t="shared" si="0"/>
        <v>310</v>
      </c>
      <c r="C323" s="14">
        <f t="shared" si="1"/>
        <v>55793</v>
      </c>
      <c r="D323" s="9">
        <f t="shared" si="6"/>
        <v>70250.27513165936</v>
      </c>
      <c r="E323" s="9">
        <f t="shared" si="2"/>
        <v>1580.1700587324092</v>
      </c>
      <c r="F323" s="9">
        <f t="shared" si="3"/>
        <v>1199.6477351025876</v>
      </c>
      <c r="G323" s="9">
        <f t="shared" si="4"/>
        <v>380.5223236298216</v>
      </c>
      <c r="H323" s="9">
        <f t="shared" si="5"/>
        <v>69050.62739655678</v>
      </c>
    </row>
    <row r="324" x14ac:dyDescent="0.25">
      <c r="B324" s="13">
        <f t="shared" si="0"/>
        <v>311</v>
      </c>
      <c r="C324" s="14">
        <f t="shared" si="1"/>
        <v>55824</v>
      </c>
      <c r="D324" s="9">
        <f t="shared" si="6"/>
        <v>69050.62739655678</v>
      </c>
      <c r="E324" s="9">
        <f t="shared" si="2"/>
        <v>1580.1700587324092</v>
      </c>
      <c r="F324" s="9">
        <f t="shared" si="3"/>
        <v>1206.1458270010598</v>
      </c>
      <c r="G324" s="9">
        <f t="shared" si="4"/>
        <v>374.0242317313493</v>
      </c>
      <c r="H324" s="9">
        <f t="shared" si="5"/>
        <v>67844.48156955572</v>
      </c>
    </row>
    <row r="325" x14ac:dyDescent="0.25">
      <c r="B325" s="13">
        <f t="shared" si="0"/>
        <v>312</v>
      </c>
      <c r="C325" s="14">
        <f t="shared" si="1"/>
        <v>55854</v>
      </c>
      <c r="D325" s="9">
        <f t="shared" si="6"/>
        <v>67844.48156955572</v>
      </c>
      <c r="E325" s="9">
        <f t="shared" si="2"/>
        <v>1580.1700587324092</v>
      </c>
      <c r="F325" s="9">
        <f t="shared" si="3"/>
        <v>1212.6791168973157</v>
      </c>
      <c r="G325" s="9">
        <f t="shared" si="4"/>
        <v>367.4909418350935</v>
      </c>
      <c r="H325" s="9">
        <f t="shared" si="5"/>
        <v>66631.8024526584</v>
      </c>
    </row>
    <row r="326" x14ac:dyDescent="0.25">
      <c r="B326" s="13">
        <f t="shared" si="0"/>
        <v>313</v>
      </c>
      <c r="C326" s="14">
        <f t="shared" si="1"/>
        <v>55885</v>
      </c>
      <c r="D326" s="9">
        <f t="shared" si="6"/>
        <v>66631.8024526584</v>
      </c>
      <c r="E326" s="9">
        <f t="shared" si="2"/>
        <v>1580.1700587324092</v>
      </c>
      <c r="F326" s="9">
        <f t="shared" si="3"/>
        <v>1219.2477954471763</v>
      </c>
      <c r="G326" s="9">
        <f t="shared" si="4"/>
        <v>360.922263285233</v>
      </c>
      <c r="H326" s="9">
        <f t="shared" si="5"/>
        <v>65412.55465721123</v>
      </c>
    </row>
    <row r="327" x14ac:dyDescent="0.25">
      <c r="B327" s="13">
        <f t="shared" si="0"/>
        <v>314</v>
      </c>
      <c r="C327" s="14">
        <f t="shared" si="1"/>
        <v>55916</v>
      </c>
      <c r="D327" s="9">
        <f t="shared" si="6"/>
        <v>65412.55465721123</v>
      </c>
      <c r="E327" s="9">
        <f t="shared" si="2"/>
        <v>1580.1700587324092</v>
      </c>
      <c r="F327" s="9">
        <f t="shared" si="3"/>
        <v>1225.8520543391817</v>
      </c>
      <c r="G327" s="9">
        <f t="shared" si="4"/>
        <v>354.3180043932275</v>
      </c>
      <c r="H327" s="9">
        <f t="shared" si="5"/>
        <v>64186.70260287205</v>
      </c>
    </row>
    <row r="328" x14ac:dyDescent="0.25">
      <c r="B328" s="13">
        <f t="shared" si="0"/>
        <v>315</v>
      </c>
      <c r="C328" s="14">
        <f t="shared" si="1"/>
        <v>55944</v>
      </c>
      <c r="D328" s="9">
        <f t="shared" si="6"/>
        <v>64186.70260287205</v>
      </c>
      <c r="E328" s="9">
        <f t="shared" si="2"/>
        <v>1580.1700587324092</v>
      </c>
      <c r="F328" s="9">
        <f t="shared" si="3"/>
        <v>1232.4920863001855</v>
      </c>
      <c r="G328" s="9">
        <f t="shared" si="4"/>
        <v>347.6779724322236</v>
      </c>
      <c r="H328" s="9">
        <f t="shared" si="5"/>
        <v>62954.21051657187</v>
      </c>
    </row>
    <row r="329" x14ac:dyDescent="0.25">
      <c r="B329" s="13">
        <f t="shared" si="0"/>
        <v>316</v>
      </c>
      <c r="C329" s="14">
        <f t="shared" si="1"/>
        <v>55975</v>
      </c>
      <c r="D329" s="9">
        <f t="shared" si="6"/>
        <v>62954.21051657187</v>
      </c>
      <c r="E329" s="9">
        <f t="shared" si="2"/>
        <v>1580.1700587324092</v>
      </c>
      <c r="F329" s="9">
        <f t="shared" si="3"/>
        <v>1239.1680851009783</v>
      </c>
      <c r="G329" s="9">
        <f t="shared" si="4"/>
        <v>341.001973631431</v>
      </c>
      <c r="H329" s="9">
        <f t="shared" si="5"/>
        <v>61715.04243147089</v>
      </c>
    </row>
    <row r="330" x14ac:dyDescent="0.25">
      <c r="B330" s="13">
        <f t="shared" si="0"/>
        <v>317</v>
      </c>
      <c r="C330" s="14">
        <f t="shared" si="1"/>
        <v>56005</v>
      </c>
      <c r="D330" s="9">
        <f t="shared" si="6"/>
        <v>61715.04243147089</v>
      </c>
      <c r="E330" s="9">
        <f t="shared" si="2"/>
        <v>1580.1700587324092</v>
      </c>
      <c r="F330" s="9">
        <f t="shared" si="3"/>
        <v>1245.8802455619418</v>
      </c>
      <c r="G330" s="9">
        <f t="shared" si="4"/>
        <v>334.2898131704673</v>
      </c>
      <c r="H330" s="9">
        <f t="shared" si="5"/>
        <v>60469.16218590894</v>
      </c>
    </row>
    <row r="331" x14ac:dyDescent="0.25">
      <c r="B331" s="13">
        <f t="shared" si="0"/>
        <v>318</v>
      </c>
      <c r="C331" s="14">
        <f t="shared" si="1"/>
        <v>56036</v>
      </c>
      <c r="D331" s="9">
        <f t="shared" si="6"/>
        <v>60469.16218590894</v>
      </c>
      <c r="E331" s="9">
        <f t="shared" si="2"/>
        <v>1580.1700587324092</v>
      </c>
      <c r="F331" s="9">
        <f t="shared" si="3"/>
        <v>1252.6287635587357</v>
      </c>
      <c r="G331" s="9">
        <f t="shared" si="4"/>
        <v>327.54129517367346</v>
      </c>
      <c r="H331" s="9">
        <f t="shared" si="5"/>
        <v>59216.53342235021</v>
      </c>
    </row>
    <row r="332" x14ac:dyDescent="0.25">
      <c r="B332" s="13">
        <f t="shared" si="0"/>
        <v>319</v>
      </c>
      <c r="C332" s="14">
        <f t="shared" si="1"/>
        <v>56066</v>
      </c>
      <c r="D332" s="9">
        <f t="shared" si="6"/>
        <v>59216.53342235021</v>
      </c>
      <c r="E332" s="9">
        <f t="shared" si="2"/>
        <v>1580.1700587324092</v>
      </c>
      <c r="F332" s="9">
        <f t="shared" si="3"/>
        <v>1259.4138360280122</v>
      </c>
      <c r="G332" s="9">
        <f t="shared" si="4"/>
        <v>320.756222704397</v>
      </c>
      <c r="H332" s="9">
        <f t="shared" si="5"/>
        <v>57957.119586322195</v>
      </c>
    </row>
    <row r="333" x14ac:dyDescent="0.25">
      <c r="B333" s="13">
        <f t="shared" si="0"/>
        <v>320</v>
      </c>
      <c r="C333" s="14">
        <f t="shared" si="1"/>
        <v>56097</v>
      </c>
      <c r="D333" s="9">
        <f t="shared" si="6"/>
        <v>57957.119586322195</v>
      </c>
      <c r="E333" s="9">
        <f t="shared" si="2"/>
        <v>1580.1700587324092</v>
      </c>
      <c r="F333" s="9">
        <f t="shared" si="3"/>
        <v>1266.235660973164</v>
      </c>
      <c r="G333" s="9">
        <f t="shared" si="4"/>
        <v>313.9343977592452</v>
      </c>
      <c r="H333" s="9">
        <f t="shared" si="5"/>
        <v>56690.88392534903</v>
      </c>
    </row>
    <row r="334" x14ac:dyDescent="0.25">
      <c r="B334" s="13">
        <f t="shared" si="0"/>
        <v>321</v>
      </c>
      <c r="C334" s="14">
        <f t="shared" si="1"/>
        <v>56128</v>
      </c>
      <c r="D334" s="9">
        <f t="shared" si="6"/>
        <v>56690.88392534903</v>
      </c>
      <c r="E334" s="9">
        <f t="shared" si="2"/>
        <v>1580.1700587324092</v>
      </c>
      <c r="F334" s="9">
        <f t="shared" si="3"/>
        <v>1273.0944374701019</v>
      </c>
      <c r="G334" s="9">
        <f t="shared" si="4"/>
        <v>307.07562126230727</v>
      </c>
      <c r="H334" s="9">
        <f t="shared" si="5"/>
        <v>55417.78948787893</v>
      </c>
    </row>
    <row r="335" x14ac:dyDescent="0.25">
      <c r="B335" s="13">
        <f t="shared" si="0"/>
        <v>322</v>
      </c>
      <c r="C335" s="14">
        <f t="shared" si="1"/>
        <v>56158</v>
      </c>
      <c r="D335" s="9">
        <f t="shared" si="6"/>
        <v>55417.78948787893</v>
      </c>
      <c r="E335" s="9">
        <f t="shared" si="2"/>
        <v>1580.1700587324092</v>
      </c>
      <c r="F335" s="9">
        <f t="shared" si="3"/>
        <v>1279.9903656730648</v>
      </c>
      <c r="G335" s="9">
        <f t="shared" si="4"/>
        <v>300.17969305934423</v>
      </c>
      <c r="H335" s="9">
        <f t="shared" si="5"/>
        <v>54137.79912220586</v>
      </c>
    </row>
    <row r="336" x14ac:dyDescent="0.25">
      <c r="B336" s="13">
        <f t="shared" si="0"/>
        <v>323</v>
      </c>
      <c r="C336" s="14">
        <f t="shared" si="1"/>
        <v>56189</v>
      </c>
      <c r="D336" s="9">
        <f t="shared" si="6"/>
        <v>54137.79912220586</v>
      </c>
      <c r="E336" s="9">
        <f t="shared" si="2"/>
        <v>1580.1700587324092</v>
      </c>
      <c r="F336" s="9">
        <f t="shared" si="3"/>
        <v>1286.9236468204608</v>
      </c>
      <c r="G336" s="9">
        <f t="shared" si="4"/>
        <v>293.2464119119484</v>
      </c>
      <c r="H336" s="9">
        <f t="shared" si="5"/>
        <v>52850.8754753854</v>
      </c>
    </row>
    <row r="337" x14ac:dyDescent="0.25">
      <c r="B337" s="13">
        <f t="shared" si="0"/>
        <v>324</v>
      </c>
      <c r="C337" s="14">
        <f t="shared" si="1"/>
        <v>56219</v>
      </c>
      <c r="D337" s="9">
        <f t="shared" si="6"/>
        <v>52850.8754753854</v>
      </c>
      <c r="E337" s="9">
        <f t="shared" si="2"/>
        <v>1580.1700587324092</v>
      </c>
      <c r="F337" s="9">
        <f t="shared" si="3"/>
        <v>1293.8944832407383</v>
      </c>
      <c r="G337" s="9">
        <f t="shared" si="4"/>
        <v>286.27557549167096</v>
      </c>
      <c r="H337" s="9">
        <f t="shared" si="5"/>
        <v>51556.980992144665</v>
      </c>
    </row>
    <row r="338" x14ac:dyDescent="0.25">
      <c r="B338" s="13">
        <f t="shared" si="0"/>
        <v>325</v>
      </c>
      <c r="C338" s="14">
        <f t="shared" si="1"/>
        <v>56250</v>
      </c>
      <c r="D338" s="9">
        <f t="shared" si="6"/>
        <v>51556.980992144665</v>
      </c>
      <c r="E338" s="9">
        <f t="shared" si="2"/>
        <v>1580.1700587324092</v>
      </c>
      <c r="F338" s="9">
        <f t="shared" si="3"/>
        <v>1300.9030783582923</v>
      </c>
      <c r="G338" s="9">
        <f t="shared" si="4"/>
        <v>279.26698037411694</v>
      </c>
      <c r="H338" s="9">
        <f t="shared" si="5"/>
        <v>50256.07791378637</v>
      </c>
    </row>
    <row r="339" x14ac:dyDescent="0.25">
      <c r="B339" s="13">
        <f t="shared" si="0"/>
        <v>326</v>
      </c>
      <c r="C339" s="14">
        <f t="shared" si="1"/>
        <v>56281</v>
      </c>
      <c r="D339" s="9">
        <f t="shared" si="6"/>
        <v>50256.07791378637</v>
      </c>
      <c r="E339" s="9">
        <f t="shared" si="2"/>
        <v>1580.1700587324092</v>
      </c>
      <c r="F339" s="9">
        <f t="shared" si="3"/>
        <v>1307.9496366993997</v>
      </c>
      <c r="G339" s="9">
        <f t="shared" si="4"/>
        <v>272.2204220330095</v>
      </c>
      <c r="H339" s="9">
        <f t="shared" si="5"/>
        <v>48948.12827708697</v>
      </c>
    </row>
    <row r="340" x14ac:dyDescent="0.25">
      <c r="B340" s="13">
        <f t="shared" si="0"/>
        <v>327</v>
      </c>
      <c r="C340" s="14">
        <f t="shared" si="1"/>
        <v>56309</v>
      </c>
      <c r="D340" s="9">
        <f t="shared" si="6"/>
        <v>48948.12827708697</v>
      </c>
      <c r="E340" s="9">
        <f t="shared" si="2"/>
        <v>1580.1700587324092</v>
      </c>
      <c r="F340" s="9">
        <f t="shared" si="3"/>
        <v>1315.034363898188</v>
      </c>
      <c r="G340" s="9">
        <f t="shared" si="4"/>
        <v>265.1356948342211</v>
      </c>
      <c r="H340" s="9">
        <f t="shared" si="5"/>
        <v>47633.093913188786</v>
      </c>
    </row>
    <row r="341" x14ac:dyDescent="0.25">
      <c r="B341" s="13">
        <f t="shared" si="0"/>
        <v>328</v>
      </c>
      <c r="C341" s="14">
        <f t="shared" si="1"/>
        <v>56340</v>
      </c>
      <c r="D341" s="9">
        <f t="shared" si="6"/>
        <v>47633.093913188786</v>
      </c>
      <c r="E341" s="9">
        <f t="shared" si="2"/>
        <v>1580.1700587324092</v>
      </c>
      <c r="F341" s="9">
        <f t="shared" si="3"/>
        <v>1322.1574667026366</v>
      </c>
      <c r="G341" s="9">
        <f t="shared" si="4"/>
        <v>258.01259202977263</v>
      </c>
      <c r="H341" s="9">
        <f t="shared" si="5"/>
        <v>46310.93644648615</v>
      </c>
    </row>
    <row r="342" x14ac:dyDescent="0.25">
      <c r="B342" s="13">
        <f t="shared" si="0"/>
        <v>329</v>
      </c>
      <c r="C342" s="14">
        <f t="shared" si="1"/>
        <v>56370</v>
      </c>
      <c r="D342" s="9">
        <f t="shared" si="6"/>
        <v>46310.93644648615</v>
      </c>
      <c r="E342" s="9">
        <f t="shared" si="2"/>
        <v>1580.1700587324092</v>
      </c>
      <c r="F342" s="9">
        <f t="shared" si="3"/>
        <v>1329.3191529806093</v>
      </c>
      <c r="G342" s="9">
        <f t="shared" si="4"/>
        <v>250.8509057518</v>
      </c>
      <c r="H342" s="9">
        <f t="shared" si="5"/>
        <v>44981.617293505544</v>
      </c>
    </row>
    <row r="343" x14ac:dyDescent="0.25">
      <c r="B343" s="13">
        <f t="shared" si="0"/>
        <v>330</v>
      </c>
      <c r="C343" s="14">
        <f t="shared" si="1"/>
        <v>56401</v>
      </c>
      <c r="D343" s="9">
        <f t="shared" si="6"/>
        <v>44981.617293505544</v>
      </c>
      <c r="E343" s="9">
        <f t="shared" si="2"/>
        <v>1580.1700587324092</v>
      </c>
      <c r="F343" s="9">
        <f t="shared" si="3"/>
        <v>1336.5196317259208</v>
      </c>
      <c r="G343" s="9">
        <f t="shared" si="4"/>
        <v>243.65042700648837</v>
      </c>
      <c r="H343" s="9">
        <f t="shared" si="5"/>
        <v>43645.097661779626</v>
      </c>
    </row>
    <row r="344" x14ac:dyDescent="0.25">
      <c r="B344" s="13">
        <f t="shared" si="0"/>
        <v>331</v>
      </c>
      <c r="C344" s="14">
        <f t="shared" si="1"/>
        <v>56431</v>
      </c>
      <c r="D344" s="9">
        <f t="shared" si="6"/>
        <v>43645.097661779626</v>
      </c>
      <c r="E344" s="9">
        <f t="shared" si="2"/>
        <v>1580.1700587324092</v>
      </c>
      <c r="F344" s="9">
        <f t="shared" si="3"/>
        <v>1343.7591130644362</v>
      </c>
      <c r="G344" s="9">
        <f t="shared" si="4"/>
        <v>236.41094566797298</v>
      </c>
      <c r="H344" s="9">
        <f t="shared" si="5"/>
        <v>42301.33854871519</v>
      </c>
    </row>
    <row r="345" x14ac:dyDescent="0.25">
      <c r="B345" s="13">
        <f t="shared" si="0"/>
        <v>332</v>
      </c>
      <c r="C345" s="14">
        <f t="shared" si="1"/>
        <v>56462</v>
      </c>
      <c r="D345" s="9">
        <f t="shared" si="6"/>
        <v>42301.33854871519</v>
      </c>
      <c r="E345" s="9">
        <f t="shared" si="2"/>
        <v>1580.1700587324092</v>
      </c>
      <c r="F345" s="9">
        <f t="shared" si="3"/>
        <v>1351.037808260202</v>
      </c>
      <c r="G345" s="9">
        <f t="shared" si="4"/>
        <v>229.1322504722073</v>
      </c>
      <c r="H345" s="9">
        <f t="shared" si="5"/>
        <v>40950.300740454986</v>
      </c>
    </row>
    <row r="346" x14ac:dyDescent="0.25">
      <c r="B346" s="13">
        <f t="shared" si="0"/>
        <v>333</v>
      </c>
      <c r="C346" s="14">
        <f t="shared" si="1"/>
        <v>56493</v>
      </c>
      <c r="D346" s="9">
        <f t="shared" si="6"/>
        <v>40950.300740454986</v>
      </c>
      <c r="E346" s="9">
        <f t="shared" si="2"/>
        <v>1580.1700587324092</v>
      </c>
      <c r="F346" s="9">
        <f t="shared" si="3"/>
        <v>1358.3559297216113</v>
      </c>
      <c r="G346" s="9">
        <f t="shared" si="4"/>
        <v>221.81412901079784</v>
      </c>
      <c r="H346" s="9">
        <f t="shared" si="5"/>
        <v>39591.944810733374</v>
      </c>
    </row>
    <row r="347" x14ac:dyDescent="0.25">
      <c r="B347" s="13">
        <f t="shared" si="0"/>
        <v>334</v>
      </c>
      <c r="C347" s="14">
        <f t="shared" si="1"/>
        <v>56523</v>
      </c>
      <c r="D347" s="9">
        <f t="shared" si="6"/>
        <v>39591.944810733374</v>
      </c>
      <c r="E347" s="9">
        <f t="shared" si="2"/>
        <v>1580.1700587324092</v>
      </c>
      <c r="F347" s="9">
        <f t="shared" si="3"/>
        <v>1365.7136910076033</v>
      </c>
      <c r="G347" s="9">
        <f t="shared" si="4"/>
        <v>214.45636772480577</v>
      </c>
      <c r="H347" s="9">
        <f t="shared" si="5"/>
        <v>38226.23111972577</v>
      </c>
    </row>
    <row r="348" x14ac:dyDescent="0.25">
      <c r="B348" s="13">
        <f t="shared" si="0"/>
        <v>335</v>
      </c>
      <c r="C348" s="14">
        <f t="shared" si="1"/>
        <v>56554</v>
      </c>
      <c r="D348" s="9">
        <f t="shared" si="6"/>
        <v>38226.23111972577</v>
      </c>
      <c r="E348" s="9">
        <f t="shared" si="2"/>
        <v>1580.1700587324092</v>
      </c>
      <c r="F348" s="9">
        <f t="shared" si="3"/>
        <v>1373.1113068338946</v>
      </c>
      <c r="G348" s="9">
        <f t="shared" si="4"/>
        <v>207.05875189851463</v>
      </c>
      <c r="H348" s="9">
        <f t="shared" si="5"/>
        <v>36853.11981289188</v>
      </c>
    </row>
    <row r="349" x14ac:dyDescent="0.25">
      <c r="B349" s="13">
        <f t="shared" si="0"/>
        <v>336</v>
      </c>
      <c r="C349" s="14">
        <f t="shared" si="1"/>
        <v>56584</v>
      </c>
      <c r="D349" s="9">
        <f t="shared" si="6"/>
        <v>36853.11981289188</v>
      </c>
      <c r="E349" s="9">
        <f t="shared" si="2"/>
        <v>1580.1700587324092</v>
      </c>
      <c r="F349" s="9">
        <f t="shared" si="3"/>
        <v>1380.5489930792448</v>
      </c>
      <c r="G349" s="9">
        <f t="shared" si="4"/>
        <v>199.62106565316435</v>
      </c>
      <c r="H349" s="9">
        <f t="shared" si="5"/>
        <v>35472.57081981263</v>
      </c>
    </row>
    <row r="350" x14ac:dyDescent="0.25">
      <c r="B350" s="13">
        <f t="shared" si="0"/>
        <v>337</v>
      </c>
      <c r="C350" s="14">
        <f t="shared" si="1"/>
        <v>56615</v>
      </c>
      <c r="D350" s="9">
        <f t="shared" si="6"/>
        <v>35472.57081981263</v>
      </c>
      <c r="E350" s="9">
        <f t="shared" si="2"/>
        <v>1580.1700587324092</v>
      </c>
      <c r="F350" s="9">
        <f t="shared" si="3"/>
        <v>1388.0269667917573</v>
      </c>
      <c r="G350" s="9">
        <f t="shared" si="4"/>
        <v>192.14309194065174</v>
      </c>
      <c r="H350" s="9">
        <f t="shared" si="5"/>
        <v>34084.54385302087</v>
      </c>
    </row>
    <row r="351" x14ac:dyDescent="0.25">
      <c r="B351" s="13">
        <f t="shared" si="0"/>
        <v>338</v>
      </c>
      <c r="C351" s="14">
        <f t="shared" si="1"/>
        <v>56646</v>
      </c>
      <c r="D351" s="9">
        <f t="shared" si="6"/>
        <v>34084.54385302087</v>
      </c>
      <c r="E351" s="9">
        <f t="shared" si="2"/>
        <v>1580.1700587324092</v>
      </c>
      <c r="F351" s="9">
        <f t="shared" si="3"/>
        <v>1395.545446195213</v>
      </c>
      <c r="G351" s="9">
        <f t="shared" si="4"/>
        <v>184.62461253719638</v>
      </c>
      <c r="H351" s="9">
        <f t="shared" si="5"/>
        <v>32688.998406825656</v>
      </c>
    </row>
    <row r="352" x14ac:dyDescent="0.25">
      <c r="B352" s="13">
        <f t="shared" si="0"/>
        <v>339</v>
      </c>
      <c r="C352" s="14">
        <f t="shared" si="1"/>
        <v>56674</v>
      </c>
      <c r="D352" s="9">
        <f t="shared" si="6"/>
        <v>32688.998406825656</v>
      </c>
      <c r="E352" s="9">
        <f t="shared" si="2"/>
        <v>1580.1700587324092</v>
      </c>
      <c r="F352" s="9">
        <f t="shared" si="3"/>
        <v>1403.104650695437</v>
      </c>
      <c r="G352" s="9">
        <f t="shared" si="4"/>
        <v>177.0654080369723</v>
      </c>
      <c r="H352" s="9">
        <f t="shared" si="5"/>
        <v>31285.89375613022</v>
      </c>
    </row>
    <row r="353" x14ac:dyDescent="0.25">
      <c r="B353" s="13">
        <f t="shared" si="0"/>
        <v>340</v>
      </c>
      <c r="C353" s="14">
        <f t="shared" si="1"/>
        <v>56705</v>
      </c>
      <c r="D353" s="9">
        <f t="shared" si="6"/>
        <v>31285.89375613022</v>
      </c>
      <c r="E353" s="9">
        <f t="shared" si="2"/>
        <v>1580.1700587324092</v>
      </c>
      <c r="F353" s="9">
        <f t="shared" si="3"/>
        <v>1410.7048008867039</v>
      </c>
      <c r="G353" s="9">
        <f t="shared" si="4"/>
        <v>169.46525784570537</v>
      </c>
      <c r="H353" s="9">
        <f t="shared" si="5"/>
        <v>29875.188955243517</v>
      </c>
    </row>
    <row r="354" x14ac:dyDescent="0.25">
      <c r="B354" s="13">
        <f t="shared" si="0"/>
        <v>341</v>
      </c>
      <c r="C354" s="14">
        <f t="shared" si="1"/>
        <v>56735</v>
      </c>
      <c r="D354" s="9">
        <f t="shared" si="6"/>
        <v>29875.188955243517</v>
      </c>
      <c r="E354" s="9">
        <f t="shared" si="2"/>
        <v>1580.1700587324092</v>
      </c>
      <c r="F354" s="9">
        <f t="shared" si="3"/>
        <v>1418.3461185581734</v>
      </c>
      <c r="G354" s="9">
        <f t="shared" si="4"/>
        <v>161.82394017423573</v>
      </c>
      <c r="H354" s="9">
        <f t="shared" si="5"/>
        <v>28456.842836685344</v>
      </c>
    </row>
    <row r="355" x14ac:dyDescent="0.25">
      <c r="B355" s="13">
        <f t="shared" si="0"/>
        <v>342</v>
      </c>
      <c r="C355" s="14">
        <f t="shared" si="1"/>
        <v>56766</v>
      </c>
      <c r="D355" s="9">
        <f t="shared" si="6"/>
        <v>28456.842836685344</v>
      </c>
      <c r="E355" s="9">
        <f t="shared" si="2"/>
        <v>1580.1700587324092</v>
      </c>
      <c r="F355" s="9">
        <f t="shared" si="3"/>
        <v>1426.0288267003637</v>
      </c>
      <c r="G355" s="9">
        <f t="shared" si="4"/>
        <v>154.14123203204562</v>
      </c>
      <c r="H355" s="9">
        <f t="shared" si="5"/>
        <v>27030.81400998498</v>
      </c>
    </row>
    <row r="356" x14ac:dyDescent="0.25">
      <c r="B356" s="13">
        <f t="shared" si="0"/>
        <v>343</v>
      </c>
      <c r="C356" s="14">
        <f t="shared" si="1"/>
        <v>56796</v>
      </c>
      <c r="D356" s="9">
        <f t="shared" si="6"/>
        <v>27030.81400998498</v>
      </c>
      <c r="E356" s="9">
        <f t="shared" si="2"/>
        <v>1580.1700587324092</v>
      </c>
      <c r="F356" s="9">
        <f t="shared" si="3"/>
        <v>1433.7531495116573</v>
      </c>
      <c r="G356" s="9">
        <f t="shared" si="4"/>
        <v>146.416909220752</v>
      </c>
      <c r="H356" s="9">
        <f t="shared" si="5"/>
        <v>25597.060860473324</v>
      </c>
    </row>
    <row r="357" x14ac:dyDescent="0.25">
      <c r="B357" s="13">
        <f t="shared" si="0"/>
        <v>344</v>
      </c>
      <c r="C357" s="14">
        <f t="shared" si="1"/>
        <v>56827</v>
      </c>
      <c r="D357" s="9">
        <f t="shared" si="6"/>
        <v>25597.060860473324</v>
      </c>
      <c r="E357" s="9">
        <f t="shared" si="2"/>
        <v>1580.1700587324092</v>
      </c>
      <c r="F357" s="9">
        <f t="shared" si="3"/>
        <v>1441.5193124048453</v>
      </c>
      <c r="G357" s="9">
        <f t="shared" si="4"/>
        <v>138.65074632756384</v>
      </c>
      <c r="H357" s="9">
        <f t="shared" si="5"/>
        <v>24155.54154806848</v>
      </c>
    </row>
    <row r="358" x14ac:dyDescent="0.25">
      <c r="B358" s="13">
        <f t="shared" si="0"/>
        <v>345</v>
      </c>
      <c r="C358" s="14">
        <f t="shared" si="1"/>
        <v>56858</v>
      </c>
      <c r="D358" s="9">
        <f t="shared" si="6"/>
        <v>24155.54154806848</v>
      </c>
      <c r="E358" s="9">
        <f t="shared" si="2"/>
        <v>1580.1700587324092</v>
      </c>
      <c r="F358" s="9">
        <f t="shared" si="3"/>
        <v>1449.327542013705</v>
      </c>
      <c r="G358" s="9">
        <f t="shared" si="4"/>
        <v>130.84251671870427</v>
      </c>
      <c r="H358" s="9">
        <f t="shared" si="5"/>
        <v>22706.214006054775</v>
      </c>
    </row>
    <row r="359" x14ac:dyDescent="0.25">
      <c r="B359" s="13">
        <f t="shared" si="0"/>
        <v>346</v>
      </c>
      <c r="C359" s="14">
        <f t="shared" si="1"/>
        <v>56888</v>
      </c>
      <c r="D359" s="9">
        <f t="shared" si="6"/>
        <v>22706.214006054775</v>
      </c>
      <c r="E359" s="9">
        <f t="shared" si="2"/>
        <v>1580.1700587324092</v>
      </c>
      <c r="F359" s="9">
        <f t="shared" si="3"/>
        <v>1457.1780661996124</v>
      </c>
      <c r="G359" s="9">
        <f t="shared" si="4"/>
        <v>122.9919925327967</v>
      </c>
      <c r="H359" s="9">
        <f t="shared" si="5"/>
        <v>21249.035939855163</v>
      </c>
    </row>
    <row r="360" x14ac:dyDescent="0.25">
      <c r="B360" s="13">
        <f t="shared" si="0"/>
        <v>347</v>
      </c>
      <c r="C360" s="14">
        <f t="shared" si="1"/>
        <v>56919</v>
      </c>
      <c r="D360" s="9">
        <f t="shared" si="6"/>
        <v>21249.035939855163</v>
      </c>
      <c r="E360" s="9">
        <f t="shared" si="2"/>
        <v>1580.1700587324092</v>
      </c>
      <c r="F360" s="9">
        <f t="shared" si="3"/>
        <v>1465.0711140581936</v>
      </c>
      <c r="G360" s="9">
        <f t="shared" si="4"/>
        <v>115.09894467421547</v>
      </c>
      <c r="H360" s="9">
        <f t="shared" si="5"/>
        <v>19783.964825796967</v>
      </c>
    </row>
    <row r="361" x14ac:dyDescent="0.25">
      <c r="B361" s="13">
        <f t="shared" si="0"/>
        <v>348</v>
      </c>
      <c r="C361" s="14">
        <f t="shared" si="1"/>
        <v>56949</v>
      </c>
      <c r="D361" s="9">
        <f t="shared" si="6"/>
        <v>19783.964825796967</v>
      </c>
      <c r="E361" s="9">
        <f t="shared" si="2"/>
        <v>1580.1700587324092</v>
      </c>
      <c r="F361" s="9">
        <f t="shared" si="3"/>
        <v>1473.006915926009</v>
      </c>
      <c r="G361" s="9">
        <f t="shared" si="4"/>
        <v>107.16314280640024</v>
      </c>
      <c r="H361" s="9">
        <f t="shared" si="5"/>
        <v>18310.95790987096</v>
      </c>
    </row>
    <row r="362" x14ac:dyDescent="0.25">
      <c r="B362" s="13">
        <f t="shared" si="0"/>
        <v>349</v>
      </c>
      <c r="C362" s="14">
        <f t="shared" si="1"/>
        <v>56980</v>
      </c>
      <c r="D362" s="9">
        <f t="shared" si="6"/>
        <v>18310.95790987096</v>
      </c>
      <c r="E362" s="9">
        <f t="shared" si="2"/>
        <v>1580.1700587324092</v>
      </c>
      <c r="F362" s="9">
        <f t="shared" si="3"/>
        <v>1480.9857033872747</v>
      </c>
      <c r="G362" s="9">
        <f t="shared" si="4"/>
        <v>99.18435534513436</v>
      </c>
      <c r="H362" s="9">
        <f t="shared" si="5"/>
        <v>16829.972206483682</v>
      </c>
    </row>
    <row r="363" x14ac:dyDescent="0.25">
      <c r="B363" s="13">
        <f t="shared" si="0"/>
        <v>350</v>
      </c>
      <c r="C363" s="14">
        <f t="shared" si="1"/>
        <v>57011</v>
      </c>
      <c r="D363" s="9">
        <f t="shared" si="6"/>
        <v>16829.972206483682</v>
      </c>
      <c r="E363" s="9">
        <f t="shared" si="2"/>
        <v>1580.1700587324092</v>
      </c>
      <c r="F363" s="9">
        <f t="shared" si="3"/>
        <v>1489.0077092806225</v>
      </c>
      <c r="G363" s="9">
        <f t="shared" si="4"/>
        <v>91.16234945178661</v>
      </c>
      <c r="H363" s="9">
        <f t="shared" si="5"/>
        <v>15340.96449720306</v>
      </c>
    </row>
    <row r="364" x14ac:dyDescent="0.25">
      <c r="B364" s="13">
        <f t="shared" si="0"/>
        <v>351</v>
      </c>
      <c r="C364" s="14">
        <f t="shared" si="1"/>
        <v>57040</v>
      </c>
      <c r="D364" s="9">
        <f t="shared" si="6"/>
        <v>15340.96449720306</v>
      </c>
      <c r="E364" s="9">
        <f t="shared" si="2"/>
        <v>1580.1700587324092</v>
      </c>
      <c r="F364" s="9">
        <f t="shared" si="3"/>
        <v>1497.0731677058925</v>
      </c>
      <c r="G364" s="9">
        <f t="shared" si="4"/>
        <v>83.09689102651659</v>
      </c>
      <c r="H364" s="9">
        <f t="shared" si="5"/>
        <v>13843.891329497168</v>
      </c>
    </row>
    <row r="365" x14ac:dyDescent="0.25">
      <c r="B365" s="13">
        <f t="shared" si="0"/>
        <v>352</v>
      </c>
      <c r="C365" s="14">
        <f t="shared" si="1"/>
        <v>57071</v>
      </c>
      <c r="D365" s="9">
        <f t="shared" si="6"/>
        <v>13843.891329497168</v>
      </c>
      <c r="E365" s="9">
        <f t="shared" si="2"/>
        <v>1580.1700587324092</v>
      </c>
      <c r="F365" s="9">
        <f t="shared" si="3"/>
        <v>1505.1823140309662</v>
      </c>
      <c r="G365" s="9">
        <f t="shared" si="4"/>
        <v>74.98774470144299</v>
      </c>
      <c r="H365" s="9">
        <f t="shared" si="5"/>
        <v>12338.709015466202</v>
      </c>
    </row>
    <row r="366" x14ac:dyDescent="0.25">
      <c r="B366" s="13">
        <f t="shared" si="0"/>
        <v>353</v>
      </c>
      <c r="C366" s="14">
        <f t="shared" si="1"/>
        <v>57101</v>
      </c>
      <c r="D366" s="9">
        <f t="shared" si="6"/>
        <v>12338.709015466202</v>
      </c>
      <c r="E366" s="9">
        <f t="shared" si="2"/>
        <v>1580.1700587324092</v>
      </c>
      <c r="F366" s="9">
        <f t="shared" si="3"/>
        <v>1513.335384898634</v>
      </c>
      <c r="G366" s="9">
        <f t="shared" si="4"/>
        <v>66.83467383377526</v>
      </c>
      <c r="H366" s="9">
        <f t="shared" si="5"/>
        <v>10825.373630567568</v>
      </c>
    </row>
    <row r="367" x14ac:dyDescent="0.25">
      <c r="B367" s="13">
        <f t="shared" si="0"/>
        <v>354</v>
      </c>
      <c r="C367" s="14">
        <f t="shared" si="1"/>
        <v>57132</v>
      </c>
      <c r="D367" s="9">
        <f t="shared" si="6"/>
        <v>10825.373630567568</v>
      </c>
      <c r="E367" s="9">
        <f t="shared" si="2"/>
        <v>1580.1700587324092</v>
      </c>
      <c r="F367" s="9">
        <f t="shared" si="3"/>
        <v>1521.5326182335016</v>
      </c>
      <c r="G367" s="9">
        <f t="shared" si="4"/>
        <v>58.637440498907665</v>
      </c>
      <c r="H367" s="9">
        <f t="shared" si="5"/>
        <v>9303.841012334067</v>
      </c>
    </row>
    <row r="368" x14ac:dyDescent="0.25">
      <c r="B368" s="13">
        <f t="shared" si="0"/>
        <v>355</v>
      </c>
      <c r="C368" s="14">
        <f t="shared" si="1"/>
        <v>57162</v>
      </c>
      <c r="D368" s="9">
        <f t="shared" si="6"/>
        <v>9303.841012334067</v>
      </c>
      <c r="E368" s="9">
        <f t="shared" si="2"/>
        <v>1580.1700587324092</v>
      </c>
      <c r="F368" s="9">
        <f t="shared" si="3"/>
        <v>1529.774253248933</v>
      </c>
      <c r="G368" s="9">
        <f t="shared" si="4"/>
        <v>50.3958054834762</v>
      </c>
      <c r="H368" s="9">
        <f t="shared" si="5"/>
        <v>7774.066759085134</v>
      </c>
    </row>
    <row r="369" x14ac:dyDescent="0.25">
      <c r="B369" s="13">
        <f t="shared" si="0"/>
        <v>356</v>
      </c>
      <c r="C369" s="14">
        <f t="shared" si="1"/>
        <v>57193</v>
      </c>
      <c r="D369" s="9">
        <f t="shared" si="6"/>
        <v>7774.066759085134</v>
      </c>
      <c r="E369" s="9">
        <f t="shared" si="2"/>
        <v>1580.1700587324092</v>
      </c>
      <c r="F369" s="9">
        <f t="shared" si="3"/>
        <v>1538.0605304540313</v>
      </c>
      <c r="G369" s="9">
        <f t="shared" si="4"/>
        <v>42.109528278377816</v>
      </c>
      <c r="H369" s="9">
        <f t="shared" si="5"/>
        <v>6236.006228631103</v>
      </c>
    </row>
    <row r="370" x14ac:dyDescent="0.25">
      <c r="B370" s="13">
        <f t="shared" si="0"/>
        <v>357</v>
      </c>
      <c r="C370" s="14">
        <f t="shared" si="1"/>
        <v>57224</v>
      </c>
      <c r="D370" s="9">
        <f t="shared" si="6"/>
        <v>6236.006228631103</v>
      </c>
      <c r="E370" s="9">
        <f t="shared" si="2"/>
        <v>1580.1700587324092</v>
      </c>
      <c r="F370" s="9">
        <f t="shared" si="3"/>
        <v>1546.3916916606574</v>
      </c>
      <c r="G370" s="9">
        <f t="shared" si="4"/>
        <v>33.77836707175181</v>
      </c>
      <c r="H370" s="9">
        <f t="shared" si="5"/>
        <v>4689.614536970445</v>
      </c>
    </row>
    <row r="371" x14ac:dyDescent="0.25">
      <c r="B371" s="13">
        <f t="shared" si="0"/>
        <v>358</v>
      </c>
      <c r="C371" s="14">
        <f t="shared" si="1"/>
        <v>57254</v>
      </c>
      <c r="D371" s="9">
        <f t="shared" si="6"/>
        <v>4689.614536970445</v>
      </c>
      <c r="E371" s="9">
        <f t="shared" si="2"/>
        <v>1580.1700587324092</v>
      </c>
      <c r="F371" s="9">
        <f t="shared" si="3"/>
        <v>1554.7679799904859</v>
      </c>
      <c r="G371" s="9">
        <f t="shared" si="4"/>
        <v>25.402078741923248</v>
      </c>
      <c r="H371" s="9">
        <f t="shared" si="5"/>
        <v>3134.8465569799596</v>
      </c>
    </row>
    <row r="372" x14ac:dyDescent="0.25">
      <c r="B372" s="13">
        <f t="shared" si="0"/>
        <v>359</v>
      </c>
      <c r="C372" s="14">
        <f t="shared" si="1"/>
        <v>57285</v>
      </c>
      <c r="D372" s="9">
        <f t="shared" si="6"/>
        <v>3134.8465569799596</v>
      </c>
      <c r="E372" s="9">
        <f t="shared" si="2"/>
        <v>1580.1700587324092</v>
      </c>
      <c r="F372" s="9">
        <f t="shared" si="3"/>
        <v>1563.1896398821011</v>
      </c>
      <c r="G372" s="9">
        <f t="shared" si="4"/>
        <v>16.980418850308116</v>
      </c>
      <c r="H372" s="9">
        <f t="shared" si="5"/>
        <v>1571.6569170978585</v>
      </c>
    </row>
    <row r="373" x14ac:dyDescent="0.25">
      <c r="B373" s="13">
        <f t="shared" si="0"/>
        <v>360</v>
      </c>
      <c r="C373" s="14">
        <f t="shared" si="1"/>
        <v>57315</v>
      </c>
      <c r="D373" s="9">
        <f t="shared" si="6"/>
        <v>1571.6569170978585</v>
      </c>
      <c r="E373" s="9">
        <f t="shared" si="2"/>
        <v>1580.1700587321384</v>
      </c>
      <c r="F373" s="9">
        <f t="shared" si="3"/>
        <v>1571.6569170978582</v>
      </c>
      <c r="G373" s="9">
        <f t="shared" si="4"/>
        <v>8.513141634280066</v>
      </c>
      <c r="H373" s="9">
        <f t="shared" si="5"/>
        <v>2.2737367544323206e-13</v>
      </c>
    </row>
  </sheetData>
  <conditionalFormatting sqref="B14:H373">
    <cfRule type="expression" dxfId="0" priority="1">
      <formula>AND($B14&lt;&gt;"",MOD($B14,2)=0)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SheetXL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Loan</vt:lpstr>
      <vt:lpstr>AnnualRate</vt:lpstr>
      <vt:lpstr>FirstPayment</vt:lpstr>
      <vt:lpstr>LoanAmount</vt:lpstr>
      <vt:lpstr>Payment</vt:lpstr>
      <vt:lpstr>PaymentsPerYear</vt:lpstr>
      <vt:lpstr>Periods</vt:lpstr>
      <vt:lpstr>TermYears</vt:lpstr>
    </vt:vector>
  </TitlesOfParts>
  <Company>SheetXL Inc</Company>
  <LinksUpToDate>false</LinksUpToDate>
  <SharedDoc>false</SharedDoc>
  <HyperlinksChanged>false</HyperlinksChanged>
  <AppVersion>0.0008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SheetXL</dc:creator>
  <cp:lastModifiedBy>SheetXL</cp:lastModifiedBy>
  <dcterms:created xsi:type="dcterms:W3CDTF">2026-09-23T15:34:54Z</dcterms:created>
  <dcterms:modified xsi:type="dcterms:W3CDTF">2026-09-23T15:34:54Z</dcterms:modified>
</cp:coreProperties>
</file>