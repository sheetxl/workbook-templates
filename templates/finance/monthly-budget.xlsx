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/>
  </bookViews>
  <sheets>
    <sheet name="Budget" sheetId="1" r:id="rId1"/>
  </sheets>
</workbook>
</file>

<file path=xl/sharedStrings.xml><?xml version="1.0" encoding="utf-8"?>
<sst xmlns="http://schemas.openxmlformats.org/spreadsheetml/2006/main" count="39" uniqueCount="31">
  <si>
    <t>Monthly Budget</t>
  </si>
  <si>
    <t>Plan each line, then fill in what actually happened. Differences show over/under at a glance.</t>
  </si>
  <si>
    <t>Month</t>
  </si>
  <si>
    <t>Summary</t>
  </si>
  <si>
    <t>Planned</t>
  </si>
  <si>
    <t>Actual</t>
  </si>
  <si>
    <t>Difference</t>
  </si>
  <si>
    <t>Income</t>
  </si>
  <si>
    <t>Source</t>
  </si>
  <si>
    <t>Expenses</t>
  </si>
  <si>
    <t>Salary (after tax)</t>
  </si>
  <si>
    <t>Net</t>
  </si>
  <si>
    <t>Side work</t>
  </si>
  <si>
    <t>Savings rate</t>
  </si>
  <si>
    <t>Interest &amp; dividends</t>
  </si>
  <si>
    <t>Total income</t>
  </si>
  <si>
    <t>Category</t>
  </si>
  <si>
    <t>Rent / mortgage</t>
  </si>
  <si>
    <t>Utilities</t>
  </si>
  <si>
    <t>Groceries</t>
  </si>
  <si>
    <t>Transportation</t>
  </si>
  <si>
    <t>Insurance</t>
  </si>
  <si>
    <t>Phone &amp; internet</t>
  </si>
  <si>
    <t>Dining out</t>
  </si>
  <si>
    <t>Entertainment</t>
  </si>
  <si>
    <t>Health</t>
  </si>
  <si>
    <t>Gifts &amp; giving</t>
  </si>
  <si>
    <t>Savings &amp; investing</t>
  </si>
  <si>
    <t>Miscellaneous</t>
  </si>
  <si>
    <t>Total expenses</t>
  </si>
  <si>
    <t>Difference: positive is good. Income above plan, or spending below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</si>
</sst>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 yyyy"/>
    <numFmt numFmtId="165" formatCode="$#,##0.00"/>
    <numFmt numFmtId="166" formatCode="0.0%"/>
  </numFmts>
  <fonts count="7" x14ac:knownFonts="1">
    <font>
      <sz val="11"/>
      <color theme="1"/>
      <name val="Calibri"/>
      <scheme val="minor"/>
    </font>
    <font>
      <b/>
      <sz val="18"/>
      <color rgb="FF1F4E79"/>
      <name val="Calibri"/>
      <scheme val="minor"/>
    </font>
    <font>
      <i/>
      <sz val="11"/>
      <color rgb="FF616E7C"/>
      <name val="Calibri"/>
      <scheme val="minor"/>
    </font>
    <font>
      <sz val="11"/>
      <color rgb="FF1F4E79"/>
      <name val="Calibri"/>
      <scheme val="minor"/>
    </font>
    <font>
      <b/>
      <sz val="11"/>
      <color rgb="FF1F4E79"/>
      <name val="Calibri"/>
      <scheme val="minor"/>
    </font>
    <font>
      <b/>
      <sz val="11"/>
      <color rgb="FFFFFFFF"/>
      <name val="Calibri"/>
      <scheme val="minor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6DB"/>
      </patternFill>
    </fill>
    <fill>
      <patternFill patternType="solid">
        <fgColor rgb="FF1F4E79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 style="thin">
        <color rgb="FFCBD2D9"/>
      </left>
      <right style="thin">
        <color rgb="FFCBD2D9"/>
      </right>
      <top style="thin">
        <color rgb="FFCBD2D9"/>
      </top>
      <bottom style="thin">
        <color rgb="FFCBD2D9"/>
      </bottom>
      <diagonal/>
    </border>
    <border>
      <left style="thin">
        <color rgb="FFCBD2D9"/>
      </left>
      <right style="thin">
        <color rgb="FFCBD2D9"/>
      </right>
      <top style="thin">
        <color rgb="FFCBD2D9"/>
      </top>
      <bottom style="thin">
        <color rgb="FFCBD2D9"/>
      </bottom>
      <diagonal/>
    </border>
    <border>
      <left style="thin">
        <color rgb="FFCBD2D9"/>
      </left>
      <right style="thin">
        <color rgb="FFCBD2D9"/>
      </right>
      <top style="thin">
        <color rgb="FF1F2933"/>
      </top>
      <bottom style="double">
        <color rgb="FF1F2933"/>
      </bottom>
      <diagonal/>
    </border>
    <border>
      <left style="thin">
        <color rgb="FFCBD2D9"/>
      </left>
      <right style="thin">
        <color rgb="FFCBD2D9"/>
      </right>
      <top style="thin">
        <color rgb="FF1F2933"/>
      </top>
      <bottom style="double">
        <color rgb="FF1F2933"/>
      </bottom>
      <diagonal/>
    </border>
    <border>
      <left style="thin">
        <color rgb="FFCBD2D9"/>
      </left>
      <right style="thin">
        <color rgb="FFCBD2D9"/>
      </right>
      <top/>
      <bottom style="thin">
        <color rgb="FFCBD2D9"/>
      </bottom>
      <diagonal/>
    </border>
    <border>
      <left style="thin">
        <color rgb="FFCBD2D9"/>
      </left>
      <right style="thin">
        <color rgb="FFCBD2D9"/>
      </right>
      <top/>
      <bottom style="thin">
        <color rgb="FFCBD2D9"/>
      </bottom>
      <diagonal/>
    </border>
    <border>
      <left/>
      <right/>
      <top style="thin">
        <color rgb="FF1F2933"/>
      </top>
      <bottom style="double">
        <color rgb="FF1F293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164" fontId="3" fillId="2" borderId="0" xfId="0" applyFont="1" applyFill="1" applyNumberFormat="1" applyAlignment="1">
      <alignment horizontal="left"/>
    </xf>
    <xf numFmtId="0" fontId="4" fillId="0" borderId="1" xfId="0" applyFont="1" applyBorder="1"/>
    <xf numFmtId="0" fontId="5" fillId="3" borderId="0" xfId="0" applyFont="1" applyFill="1" applyAlignment="1">
      <alignment vertical="center"/>
    </xf>
    <xf numFmtId="0" fontId="0" fillId="0" borderId="2" xfId="0" applyBorder="1"/>
    <xf numFmtId="165" fontId="0" fillId="0" borderId="3" xfId="0" applyNumberFormat="1" applyBorder="1"/>
    <xf numFmtId="0" fontId="3" fillId="2" borderId="2" xfId="0" applyFont="1" applyFill="1" applyBorder="1"/>
    <xf numFmtId="165" fontId="3" fillId="2" borderId="3" xfId="0" applyFont="1" applyFill="1" applyNumberFormat="1" applyBorder="1"/>
    <xf numFmtId="165" fontId="0" fillId="0" borderId="2" xfId="0" applyNumberFormat="1" applyBorder="1"/>
    <xf numFmtId="0" fontId="6" fillId="0" borderId="4" xfId="0" applyFont="1" applyBorder="1"/>
    <xf numFmtId="165" fontId="6" fillId="0" borderId="5" xfId="0" applyFont="1" applyNumberFormat="1" applyBorder="1"/>
    <xf numFmtId="0" fontId="0" fillId="0" borderId="6" xfId="0" applyBorder="1"/>
    <xf numFmtId="166" fontId="0" fillId="0" borderId="7" xfId="0" applyNumberFormat="1" applyBorder="1"/>
    <xf numFmtId="0" fontId="6" fillId="0" borderId="8" xfId="0" applyFont="1" applyBorder="1"/>
    <xf numFmtId="165" fontId="6" fillId="0" borderId="8" xfId="0" applyFont="1" applyNumberFormat="1" applyBorder="1"/>
  </cellXfs>
  <cellStyles count="1">
    <cellStyle name="Normal" xfId="0" builtinId="0" customBuiltin="1"/>
  </cellStyles>
  <dxfs count="2">
    <dxf>
      <font>
        <color rgb="FF2F7D4F"/>
      </font>
    </dxf>
    <dxf>
      <font>
        <color rgb="FFB4231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381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  <a:fillToRect l="50000" t="-80000" r="50000" b="18000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  <a:fillToRect l="50000" t="50000" r="50000" b="5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3"/>
  <sheetViews>
    <sheetView showGridLines="0" tabSelected="1" workbookViewId="0"/>
  </sheetViews>
  <sheetFormatPr defaultRowHeight="15" x14ac:dyDescent="0.25"/>
  <cols>
    <col min="1" max="1" width="2.3984375" customWidth="1"/>
    <col min="2" max="2" width="21.5" customWidth="1"/>
    <col min="3" max="5" width="11" customWidth="1"/>
    <col min="6" max="6" width="3.19921875" customWidth="1"/>
    <col min="7" max="7" width="13.5" customWidth="1"/>
    <col min="8" max="10" width="11" customWidth="1"/>
  </cols>
  <sheetData>
    <row r="2" x14ac:dyDescent="0.25">
      <c r="B2" s="1" t="s">
        <v>0</v>
      </c>
    </row>
    <row r="3" x14ac:dyDescent="0.25">
      <c r="B3" s="2" t="s">
        <v>1</v>
      </c>
    </row>
    <row r="4" x14ac:dyDescent="0.25">
      <c r="B4" t="s">
        <v>2</v>
      </c>
      <c r="C4" s="3">
        <v>46266</v>
      </c>
      <c r="G4" s="4" t="s">
        <v>3</v>
      </c>
      <c r="H4" s="4"/>
      <c r="I4" s="4"/>
      <c r="J4" s="4"/>
    </row>
    <row r="5" x14ac:dyDescent="0.25">
      <c r="G5" s="5"/>
      <c r="H5" s="5" t="s">
        <v>4</v>
      </c>
      <c r="I5" s="5" t="s">
        <v>5</v>
      </c>
      <c r="J5" s="5" t="s">
        <v>6</v>
      </c>
    </row>
    <row r="6" x14ac:dyDescent="0.25">
      <c r="B6" s="4" t="s">
        <v>7</v>
      </c>
      <c r="C6" s="4"/>
      <c r="D6" s="4"/>
      <c r="E6" s="4"/>
      <c r="G6" s="6" t="s">
        <v>7</v>
      </c>
      <c r="H6" s="7">
        <f t="shared" ref="H6:I6" si="0">C13</f>
        <v>5235</v>
      </c>
      <c r="I6" s="7">
        <f t="shared" si="0"/>
        <v>5351</v>
      </c>
      <c r="J6" s="7">
        <f>I6-H6</f>
        <v>116</v>
      </c>
    </row>
    <row r="7" x14ac:dyDescent="0.25">
      <c r="B7" s="5" t="s">
        <v>8</v>
      </c>
      <c r="C7" s="5" t="s">
        <v>4</v>
      </c>
      <c r="D7" s="5" t="s">
        <v>5</v>
      </c>
      <c r="E7" s="5" t="s">
        <v>6</v>
      </c>
      <c r="G7" s="6" t="s">
        <v>9</v>
      </c>
      <c r="H7" s="7">
        <f t="shared" ref="H7:I7" si="1">C31</f>
        <v>4790</v>
      </c>
      <c r="I7" s="7">
        <f t="shared" si="1"/>
        <v>4759</v>
      </c>
      <c r="J7" s="7">
        <f>H7-I7</f>
        <v>31</v>
      </c>
    </row>
    <row r="8" x14ac:dyDescent="0.25">
      <c r="B8" s="8" t="s">
        <v>10</v>
      </c>
      <c r="C8" s="9">
        <v>4800</v>
      </c>
      <c r="D8" s="9">
        <v>4800</v>
      </c>
      <c r="E8" s="10">
        <f t="shared" ref="E8:E12" si="2">IF(AND(C8="",D8=""),"",D8-C8)</f>
        <v>0</v>
      </c>
      <c r="G8" s="11" t="s">
        <v>11</v>
      </c>
      <c r="H8" s="12">
        <f t="shared" ref="H8:I8" si="3">H6-H7</f>
        <v>445</v>
      </c>
      <c r="I8" s="12">
        <f t="shared" si="3"/>
        <v>592</v>
      </c>
      <c r="J8" s="12">
        <f t="shared" ref="J8:J9" si="4">I8-H8</f>
        <v>147</v>
      </c>
    </row>
    <row r="9" x14ac:dyDescent="0.25">
      <c r="B9" s="8" t="s">
        <v>12</v>
      </c>
      <c r="C9" s="9">
        <v>400</v>
      </c>
      <c r="D9" s="9">
        <v>520</v>
      </c>
      <c r="E9" s="10">
        <f t="shared" si="2"/>
        <v>120</v>
      </c>
      <c r="G9" s="13" t="s">
        <v>13</v>
      </c>
      <c r="H9" s="14">
        <f t="shared" ref="H9:I9" si="5">IF(H6=0,0,(H8+SUMIF($B$17:$B$30,"Savings*",C$17:C$30))/H6)</f>
        <v>0.27602674307545366</v>
      </c>
      <c r="I9" s="14">
        <f t="shared" si="5"/>
        <v>0.29751448327415436</v>
      </c>
      <c r="J9" s="14">
        <f t="shared" si="4"/>
        <v>0.0214877401987007</v>
      </c>
    </row>
    <row r="10" x14ac:dyDescent="0.25">
      <c r="B10" s="8" t="s">
        <v>14</v>
      </c>
      <c r="C10" s="9">
        <v>35</v>
      </c>
      <c r="D10" s="9">
        <v>31</v>
      </c>
      <c r="E10" s="10">
        <f t="shared" si="2"/>
        <v>-4</v>
      </c>
    </row>
    <row r="11" x14ac:dyDescent="0.25">
      <c r="B11" s="8"/>
      <c r="C11" s="9"/>
      <c r="D11" s="9"/>
      <c r="E11" s="10" t="str">
        <f t="shared" si="2"/>
        <v/>
      </c>
    </row>
    <row r="12" x14ac:dyDescent="0.25">
      <c r="B12" s="8"/>
      <c r="C12" s="9"/>
      <c r="D12" s="9"/>
      <c r="E12" s="10" t="str">
        <f t="shared" si="2"/>
        <v/>
      </c>
    </row>
    <row r="13" x14ac:dyDescent="0.25">
      <c r="B13" s="15" t="s">
        <v>15</v>
      </c>
      <c r="C13" s="16">
        <f t="shared" ref="C13:D13" si="6">SUM(C8:C12)</f>
        <v>5235</v>
      </c>
      <c r="D13" s="16">
        <f t="shared" si="6"/>
        <v>5351</v>
      </c>
      <c r="E13" s="16">
        <f>D13-C13</f>
        <v>116</v>
      </c>
    </row>
    <row r="15" x14ac:dyDescent="0.25">
      <c r="B15" s="4" t="s">
        <v>9</v>
      </c>
      <c r="C15" s="4"/>
      <c r="D15" s="4"/>
      <c r="E15" s="4"/>
    </row>
    <row r="16" x14ac:dyDescent="0.25">
      <c r="B16" s="5" t="s">
        <v>16</v>
      </c>
      <c r="C16" s="5" t="s">
        <v>4</v>
      </c>
      <c r="D16" s="5" t="s">
        <v>5</v>
      </c>
      <c r="E16" s="5" t="s">
        <v>6</v>
      </c>
    </row>
    <row r="17" x14ac:dyDescent="0.25">
      <c r="B17" s="8" t="s">
        <v>17</v>
      </c>
      <c r="C17" s="9">
        <v>1650</v>
      </c>
      <c r="D17" s="9">
        <v>1650</v>
      </c>
      <c r="E17" s="10">
        <f t="shared" ref="E17:E30" si="7">IF(AND(C17="",D17=""),"",C17-D17)</f>
        <v>0</v>
      </c>
    </row>
    <row r="18" x14ac:dyDescent="0.25">
      <c r="B18" s="8" t="s">
        <v>18</v>
      </c>
      <c r="C18" s="9">
        <v>210</v>
      </c>
      <c r="D18" s="9">
        <v>236</v>
      </c>
      <c r="E18" s="10">
        <f t="shared" si="7"/>
        <v>-26</v>
      </c>
    </row>
    <row r="19" x14ac:dyDescent="0.25">
      <c r="B19" s="8" t="s">
        <v>19</v>
      </c>
      <c r="C19" s="9">
        <v>600</v>
      </c>
      <c r="D19" s="9">
        <v>648</v>
      </c>
      <c r="E19" s="10">
        <f t="shared" si="7"/>
        <v>-48</v>
      </c>
    </row>
    <row r="20" x14ac:dyDescent="0.25">
      <c r="B20" s="8" t="s">
        <v>20</v>
      </c>
      <c r="C20" s="9">
        <v>320</v>
      </c>
      <c r="D20" s="9">
        <v>285</v>
      </c>
      <c r="E20" s="10">
        <f t="shared" si="7"/>
        <v>35</v>
      </c>
    </row>
    <row r="21" x14ac:dyDescent="0.25">
      <c r="B21" s="8" t="s">
        <v>21</v>
      </c>
      <c r="C21" s="9">
        <v>240</v>
      </c>
      <c r="D21" s="9">
        <v>240</v>
      </c>
      <c r="E21" s="10">
        <f t="shared" si="7"/>
        <v>0</v>
      </c>
    </row>
    <row r="22" x14ac:dyDescent="0.25">
      <c r="B22" s="8" t="s">
        <v>22</v>
      </c>
      <c r="C22" s="9">
        <v>110</v>
      </c>
      <c r="D22" s="9">
        <v>110</v>
      </c>
      <c r="E22" s="10">
        <f t="shared" si="7"/>
        <v>0</v>
      </c>
    </row>
    <row r="23" x14ac:dyDescent="0.25">
      <c r="B23" s="8" t="s">
        <v>23</v>
      </c>
      <c r="C23" s="9">
        <v>200</v>
      </c>
      <c r="D23" s="9">
        <v>262</v>
      </c>
      <c r="E23" s="10">
        <f t="shared" si="7"/>
        <v>-62</v>
      </c>
    </row>
    <row r="24" x14ac:dyDescent="0.25">
      <c r="B24" s="8" t="s">
        <v>24</v>
      </c>
      <c r="C24" s="9">
        <v>120</v>
      </c>
      <c r="D24" s="9">
        <v>95</v>
      </c>
      <c r="E24" s="10">
        <f t="shared" si="7"/>
        <v>25</v>
      </c>
    </row>
    <row r="25" x14ac:dyDescent="0.25">
      <c r="B25" s="8" t="s">
        <v>25</v>
      </c>
      <c r="C25" s="9">
        <v>90</v>
      </c>
      <c r="D25" s="9">
        <v>40</v>
      </c>
      <c r="E25" s="10">
        <f t="shared" si="7"/>
        <v>50</v>
      </c>
    </row>
    <row r="26" x14ac:dyDescent="0.25">
      <c r="B26" s="8" t="s">
        <v>26</v>
      </c>
      <c r="C26" s="9">
        <v>100</v>
      </c>
      <c r="D26" s="9">
        <v>75</v>
      </c>
      <c r="E26" s="10">
        <f t="shared" si="7"/>
        <v>25</v>
      </c>
    </row>
    <row r="27" x14ac:dyDescent="0.25">
      <c r="B27" s="8" t="s">
        <v>27</v>
      </c>
      <c r="C27" s="9">
        <v>1000</v>
      </c>
      <c r="D27" s="9">
        <v>1000</v>
      </c>
      <c r="E27" s="10">
        <f t="shared" si="7"/>
        <v>0</v>
      </c>
    </row>
    <row r="28" x14ac:dyDescent="0.25">
      <c r="B28" s="8" t="s">
        <v>28</v>
      </c>
      <c r="C28" s="9">
        <v>150</v>
      </c>
      <c r="D28" s="9">
        <v>118</v>
      </c>
      <c r="E28" s="10">
        <f t="shared" si="7"/>
        <v>32</v>
      </c>
    </row>
    <row r="29" x14ac:dyDescent="0.25">
      <c r="B29" s="8"/>
      <c r="C29" s="9"/>
      <c r="D29" s="9"/>
      <c r="E29" s="10" t="str">
        <f t="shared" si="7"/>
        <v/>
      </c>
    </row>
    <row r="30" x14ac:dyDescent="0.25">
      <c r="B30" s="8"/>
      <c r="C30" s="9"/>
      <c r="D30" s="9"/>
      <c r="E30" s="10" t="str">
        <f t="shared" si="7"/>
        <v/>
      </c>
    </row>
    <row r="31" x14ac:dyDescent="0.25">
      <c r="B31" s="15" t="s">
        <v>29</v>
      </c>
      <c r="C31" s="16">
        <f t="shared" ref="C31:D31" si="8">SUM(C17:C30)</f>
        <v>4790</v>
      </c>
      <c r="D31" s="16">
        <f t="shared" si="8"/>
        <v>4759</v>
      </c>
      <c r="E31" s="16">
        <f>C31-D31</f>
        <v>31</v>
      </c>
    </row>
    <row r="33" x14ac:dyDescent="0.25">
      <c r="B33" s="2" t="s">
        <v>30</v>
      </c>
    </row>
  </sheetData>
  <conditionalFormatting sqref="J6:J9">
    <cfRule type="expression" dxfId="0" priority="1">
      <formula>AND(ISNUMBER(J6),J6&gt;0)</formula>
    </cfRule>
    <cfRule type="expression" dxfId="1" priority="2">
      <formula>AND(ISNUMBER(J6),J6&lt;0)</formula>
    </cfRule>
  </conditionalFormatting>
  <conditionalFormatting sqref="E17:E31">
    <cfRule type="expression" dxfId="0" priority="3">
      <formula>AND(ISNUMBER(E17),E17&gt;0)</formula>
    </cfRule>
    <cfRule type="expression" dxfId="1" priority="4">
      <formula>AND(ISNUMBER(E17),E17&lt;0)</formula>
    </cfRule>
  </conditionalFormatting>
  <conditionalFormatting sqref="E8:E13">
    <cfRule type="expression" dxfId="0" priority="5">
      <formula>AND(ISNUMBER(E8),E8&gt;0)</formula>
    </cfRule>
    <cfRule type="expression" dxfId="1" priority="6">
      <formula>AND(ISNUMBER(E8),E8&lt;0)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SheetXL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>SheetXL Inc</Company>
  <LinksUpToDate>false</LinksUpToDate>
  <SharedDoc>false</SharedDoc>
  <HyperlinksChanged>false</HyperlinksChanged>
  <AppVersion>0.0008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SheetXL</dc:creator>
  <cp:lastModifiedBy>SheetXL</cp:lastModifiedBy>
  <dcterms:created xsi:type="dcterms:W3CDTF">2026-09-23T15:34:55Z</dcterms:created>
  <dcterms:modified xsi:type="dcterms:W3CDTF">2026-09-23T15:34:55Z</dcterms:modified>
</cp:coreProperties>
</file>